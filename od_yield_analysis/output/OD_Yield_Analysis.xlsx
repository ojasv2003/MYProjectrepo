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Insights" sheetId="2" state="visible" r:id="rId2"/>
    <sheet name="OD_Month_Yield" sheetId="3" state="visible" r:id="rId3"/>
    <sheet name="Pivot_Base_Yield" sheetId="4" state="visible" r:id="rId4"/>
    <sheet name="Pivot_Total_Yield" sheetId="5" state="visible" r:id="rId5"/>
    <sheet name="Pivot_VAS_Yield" sheetId="6" state="visible" r:id="rId6"/>
    <sheet name="Pivot_Weight" sheetId="7" state="visible" r:id="rId7"/>
    <sheet name="OD_Overall" sheetId="8" state="visible" r:id="rId8"/>
    <sheet name="Month_Summary" sheetId="9" state="visible" r:id="rId9"/>
    <sheet name="Origin_Month" sheetId="10" state="visible" r:id="rId10"/>
    <sheet name="Destination_Month" sheetId="11" state="visible" r:id="rId11"/>
    <sheet name="Rankings" sheetId="12" state="visible" r:id="rId12"/>
    <sheet name="Data_Quality" sheetId="13" state="visible" r:id="rId13"/>
  </sheets>
  <definedNames>
    <definedName name="_xlnm._FilterDatabase" localSheetId="11" hidden="1">'Rankings'!$A$23:$F$38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3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name val="Calibri"/>
      <b val="1"/>
      <color rgb="00FFFFFF"/>
      <sz val="11"/>
    </font>
    <font>
      <name val="Calibri"/>
      <b val="1"/>
    </font>
    <font>
      <name val="Calibri"/>
    </font>
    <font>
      <name val="Calibri"/>
      <b val="1"/>
      <color rgb="001B365D"/>
      <sz val="14"/>
    </font>
    <font>
      <name val="Calibri"/>
      <b val="1"/>
      <color rgb="001B365D"/>
      <sz val="16"/>
    </font>
    <font>
      <name val="Calibri"/>
      <i val="1"/>
      <color rgb="000F6C8C"/>
      <sz val="11"/>
    </font>
    <font>
      <name val="Calibri"/>
      <b val="1"/>
      <sz val="11"/>
    </font>
    <font>
      <name val="Calibri"/>
      <b val="1"/>
      <color rgb="001B365D"/>
      <sz val="13"/>
    </font>
    <font>
      <name val="Calibri"/>
      <sz val="10"/>
    </font>
    <font>
      <name val="Calibri"/>
      <b val="1"/>
      <color rgb="001F7A4D"/>
      <sz val="12"/>
    </font>
    <font>
      <name val="Calibri"/>
      <b val="1"/>
      <color rgb="009B2C2C"/>
      <sz val="12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0" borderId="1" pivotButton="0" quotePrefix="0" xfId="0"/>
    <xf numFmtId="3" fontId="10" fillId="0" borderId="1" pivotButton="0" quotePrefix="0" xfId="0"/>
    <xf numFmtId="4" fontId="10" fillId="0" borderId="1" pivotButton="0" quotePrefix="0" xfId="0"/>
    <xf numFmtId="2" fontId="10" fillId="0" borderId="1" pivotButton="0" quotePrefix="0" xfId="0"/>
    <xf numFmtId="164" fontId="10" fillId="0" borderId="1" pivotButton="0" quotePrefix="0" xfId="0"/>
    <xf numFmtId="1" fontId="10" fillId="0" borderId="1" pivotButton="0" quotePrefix="0" xfId="0"/>
    <xf numFmtId="0" fontId="1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Network yield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'Month_Summary'!I4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'Month_Summary'!$A$5:$A$8</f>
            </numRef>
          </cat>
          <val>
            <numRef>
              <f>'Month_Summary'!$I$5:$I$8</f>
            </numRef>
          </val>
        </ser>
        <ser>
          <idx val="1"/>
          <order val="1"/>
          <tx>
            <strRef>
              <f>'Month_Summary'!J4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'Month_Summary'!$A$5:$A$8</f>
            </numRef>
          </cat>
          <val>
            <numRef>
              <f>'Month_Summary'!$J$5:$J$8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Yield (freight / weight)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OD pairs by charged weight — base vs total yield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'Rankings'!P42</f>
            </strRef>
          </tx>
          <spPr>
            <a:ln>
              <a:prstDash val="solid"/>
            </a:ln>
          </spPr>
          <cat>
            <numRef>
              <f>'Rankings'!$O$43:$O$52</f>
            </numRef>
          </cat>
          <val>
            <numRef>
              <f>'Rankings'!$P$43:$P$52</f>
            </numRef>
          </val>
        </ser>
        <ser>
          <idx val="1"/>
          <order val="1"/>
          <tx>
            <strRef>
              <f>'Rankings'!Q42</f>
            </strRef>
          </tx>
          <spPr>
            <a:ln>
              <a:prstDash val="solid"/>
            </a:ln>
          </spPr>
          <cat>
            <numRef>
              <f>'Rankings'!$O$43:$O$52</f>
            </numRef>
          </cat>
          <val>
            <numRef>
              <f>'Rankings'!$Q$43:$Q$52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Yield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opPairsVsNetwork" displayName="tblTopPairsVsNetwork" ref="A14:I24" headerRowCount="1">
  <autoFilter ref="A14:I24"/>
  <tableColumns count="9">
    <tableColumn id="1" name="OD pair"/>
    <tableColumn id="2" name="Shipments"/>
    <tableColumn id="3" name="Charged weight"/>
    <tableColumn id="4" name="Weight share %"/>
    <tableColumn id="5" name="Base yield"/>
    <tableColumn id="6" name="Total yield"/>
    <tableColumn id="7" name="VAS yield"/>
    <tableColumn id="8" name="Base yield vs network"/>
    <tableColumn id="9" name="Total yield vs network"/>
  </tableColumns>
  <tableStyleInfo name="TableStyleMedium2" showRowStripes="1"/>
</table>
</file>

<file path=xl/tables/table2.xml><?xml version="1.0" encoding="utf-8"?>
<table xmlns="http://schemas.openxmlformats.org/spreadsheetml/2006/main" id="2" name="tblBelowNetwork" displayName="tblBelowNetwork" ref="A27:F30" headerRowCount="1">
  <autoFilter ref="A27:F30"/>
  <tableColumns count="6">
    <tableColumn id="1" name="OD pair"/>
    <tableColumn id="2" name="Shipments"/>
    <tableColumn id="3" name="Charged weight"/>
    <tableColumn id="4" name="Weight share %"/>
    <tableColumn id="5" name="Base yield"/>
    <tableColumn id="6" name="Total yield"/>
  </tableColumns>
  <tableStyleInfo name="TableStyleMedium2" showRowStripes="1"/>
</table>
</file>

<file path=xl/tables/table3.xml><?xml version="1.0" encoding="utf-8"?>
<table xmlns="http://schemas.openxmlformats.org/spreadsheetml/2006/main" id="3" name="tblODMonthYield" displayName="tblODMonthYield" ref="A4:W120" headerRowCount="1">
  <autoFilter ref="A4:W120"/>
  <tableColumns count="23">
    <tableColumn id="1" name="Origin zone"/>
    <tableColumn id="2" name="Destination zone"/>
    <tableColumn id="3" name="OD pair"/>
    <tableColumn id="4" name="Month"/>
    <tableColumn id="5" name="Shipments"/>
    <tableColumn id="6" name="Charged weight"/>
    <tableColumn id="7" name="Basic freight"/>
    <tableColumn id="8" name="Total freight"/>
    <tableColumn id="9" name="VAS freight"/>
    <tableColumn id="10" name="Base yield"/>
    <tableColumn id="11" name="Total yield"/>
    <tableColumn id="12" name="VAS yield"/>
    <tableColumn id="13" name="Yield uplift (total − base)"/>
    <tableColumn id="14" name="Avg shipment base yield"/>
    <tableColumn id="15" name="Avg shipment total yield"/>
    <tableColumn id="16" name="Avg weight / shipment"/>
    <tableColumn id="17" name="Weight share %"/>
    <tableColumn id="18" name="Total freight share %"/>
    <tableColumn id="19" name="Base yield MoM abs"/>
    <tableColumn id="20" name="Base yield MoM %"/>
    <tableColumn id="21" name="Total yield MoM abs"/>
    <tableColumn id="22" name="Total yield MoM %"/>
    <tableColumn id="23" name="Weight MoM %"/>
  </tableColumns>
  <tableStyleInfo name="TableStyleMedium2" showRowStripes="1"/>
</table>
</file>

<file path=xl/tables/table4.xml><?xml version="1.0" encoding="utf-8"?>
<table xmlns="http://schemas.openxmlformats.org/spreadsheetml/2006/main" id="4" name="tblPivotBaseYield" displayName="tblPivotBaseYield" ref="A4:H36" headerRowCount="1">
  <autoFilter ref="A4:H36"/>
  <tableColumns count="8">
    <tableColumn id="1" name="Origin zone"/>
    <tableColumn id="2" name="Destination zone"/>
    <tableColumn id="3" name="OD pair"/>
    <tableColumn id="4" name="April"/>
    <tableColumn id="5" name="May"/>
    <tableColumn id="6" name="June"/>
    <tableColumn id="7" name="July"/>
    <tableColumn id="8" name="All months"/>
  </tableColumns>
  <tableStyleInfo name="TableStyleMedium2" showRowStripes="1"/>
</table>
</file>

<file path=xl/tables/table5.xml><?xml version="1.0" encoding="utf-8"?>
<table xmlns="http://schemas.openxmlformats.org/spreadsheetml/2006/main" id="5" name="tblPivotTotalYield" displayName="tblPivotTotalYield" ref="A4:H36" headerRowCount="1">
  <autoFilter ref="A4:H36"/>
  <tableColumns count="8">
    <tableColumn id="1" name="Origin zone"/>
    <tableColumn id="2" name="Destination zone"/>
    <tableColumn id="3" name="OD pair"/>
    <tableColumn id="4" name="April"/>
    <tableColumn id="5" name="May"/>
    <tableColumn id="6" name="June"/>
    <tableColumn id="7" name="July"/>
    <tableColumn id="8" name="All months"/>
  </tableColumns>
  <tableStyleInfo name="TableStyleMedium2" showRowStripes="1"/>
</table>
</file>

<file path=xl/tables/table6.xml><?xml version="1.0" encoding="utf-8"?>
<table xmlns="http://schemas.openxmlformats.org/spreadsheetml/2006/main" id="6" name="tblPivotVASYield" displayName="tblPivotVASYield" ref="A4:H36" headerRowCount="1">
  <autoFilter ref="A4:H36"/>
  <tableColumns count="8">
    <tableColumn id="1" name="Origin zone"/>
    <tableColumn id="2" name="Destination zone"/>
    <tableColumn id="3" name="OD pair"/>
    <tableColumn id="4" name="April"/>
    <tableColumn id="5" name="May"/>
    <tableColumn id="6" name="June"/>
    <tableColumn id="7" name="July"/>
    <tableColumn id="8" name="All months"/>
  </tableColumns>
  <tableStyleInfo name="TableStyleMedium2" showRowStripes="1"/>
</table>
</file>

<file path=xl/tables/table7.xml><?xml version="1.0" encoding="utf-8"?>
<table xmlns="http://schemas.openxmlformats.org/spreadsheetml/2006/main" id="7" name="tblPivotWeight" displayName="tblPivotWeight" ref="A4:H36" headerRowCount="1">
  <autoFilter ref="A4:H36"/>
  <tableColumns count="8">
    <tableColumn id="1" name="Origin zone"/>
    <tableColumn id="2" name="Destination zone"/>
    <tableColumn id="3" name="OD pair"/>
    <tableColumn id="4" name="April"/>
    <tableColumn id="5" name="May"/>
    <tableColumn id="6" name="June"/>
    <tableColumn id="7" name="July"/>
    <tableColumn id="8" name="All months"/>
  </tableColumns>
  <tableStyleInfo name="TableStyleMedium2" showRowStripes="1"/>
</table>
</file>

<file path=xl/tables/table8.xml><?xml version="1.0" encoding="utf-8"?>
<table xmlns="http://schemas.openxmlformats.org/spreadsheetml/2006/main" id="8" name="tblODOverall" displayName="tblODOverall" ref="A4:R36" headerRowCount="1">
  <autoFilter ref="A4:R36"/>
  <tableColumns count="18">
    <tableColumn id="1" name="Weight rank"/>
    <tableColumn id="2" name="OD pair"/>
    <tableColumn id="3" name="Origin zone"/>
    <tableColumn id="4" name="Destination zone"/>
    <tableColumn id="5" name="Shipments"/>
    <tableColumn id="6" name="Charged weight"/>
    <tableColumn id="7" name="Basic freight"/>
    <tableColumn id="8" name="Total freight"/>
    <tableColumn id="9" name="VAS freight"/>
    <tableColumn id="10" name="Base yield"/>
    <tableColumn id="11" name="Total yield"/>
    <tableColumn id="12" name="VAS yield"/>
    <tableColumn id="13" name="Yield uplift (total − base)"/>
    <tableColumn id="14" name="Weight share %"/>
    <tableColumn id="15" name="Total freight share %"/>
    <tableColumn id="16" name="Base yield vs network"/>
    <tableColumn id="17" name="Total yield vs network"/>
    <tableColumn id="18" name="Avg weight / shipment"/>
  </tableColumns>
  <tableStyleInfo name="TableStyleMedium2" showRowStripes="1"/>
</table>
</file>

<file path=xl/tables/table9.xml><?xml version="1.0" encoding="utf-8"?>
<table xmlns="http://schemas.openxmlformats.org/spreadsheetml/2006/main" id="9" name="tblMonthSummary" displayName="tblMonthSummary" ref="A4:S8" headerRowCount="1">
  <autoFilter ref="A4:S8"/>
  <tableColumns count="19">
    <tableColumn id="1" name="Month"/>
    <tableColumn id="2" name="Shipments"/>
    <tableColumn id="3" name="Charged weight"/>
    <tableColumn id="4" name="Basic freight"/>
    <tableColumn id="5" name="Total freight"/>
    <tableColumn id="6" name="VAS freight"/>
    <tableColumn id="7" name="Avg shipment base yield"/>
    <tableColumn id="8" name="Avg shipment total yield"/>
    <tableColumn id="9" name="Base yield"/>
    <tableColumn id="10" name="Total yield"/>
    <tableColumn id="11" name="VAS yield"/>
    <tableColumn id="12" name="Yield uplift (total − base)"/>
    <tableColumn id="13" name="Avg weight / shipment"/>
    <tableColumn id="14" name="Weight share %"/>
    <tableColumn id="15" name="Basic freight share %"/>
    <tableColumn id="16" name="Total freight share %"/>
    <tableColumn id="17" name="Base yield MoM %"/>
    <tableColumn id="18" name="Total yield MoM %"/>
    <tableColumn id="19" name="Weight MoM %"/>
  </tableColumns>
  <tableStyleInfo name="TableStyleMedium2" showRowStripes="1"/>
</table>
</file>

<file path=xl/tables/table10.xml><?xml version="1.0" encoding="utf-8"?>
<table xmlns="http://schemas.openxmlformats.org/spreadsheetml/2006/main" id="10" name="tblOriginMonth" displayName="tblOriginMonth" ref="A4:Q28" headerRowCount="1">
  <autoFilter ref="A4:Q28"/>
  <tableColumns count="17">
    <tableColumn id="1" name="Origin zone"/>
    <tableColumn id="2" name="Month"/>
    <tableColumn id="3" name="Shipments"/>
    <tableColumn id="4" name="Charged weight"/>
    <tableColumn id="5" name="Basic freight"/>
    <tableColumn id="6" name="Total freight"/>
    <tableColumn id="7" name="VAS freight"/>
    <tableColumn id="8" name="Avg shipment base yield"/>
    <tableColumn id="9" name="Avg shipment total yield"/>
    <tableColumn id="10" name="Base yield"/>
    <tableColumn id="11" name="Total yield"/>
    <tableColumn id="12" name="VAS yield"/>
    <tableColumn id="13" name="Yield uplift (total − base)"/>
    <tableColumn id="14" name="Avg weight / shipment"/>
    <tableColumn id="15" name="Weight share %"/>
    <tableColumn id="16" name="Basic freight share %"/>
    <tableColumn id="17" name="Total freight share %"/>
  </tableColumns>
  <tableStyleInfo name="TableStyleMedium2" showRowStripes="1"/>
</table>
</file>

<file path=xl/tables/table11.xml><?xml version="1.0" encoding="utf-8"?>
<table xmlns="http://schemas.openxmlformats.org/spreadsheetml/2006/main" id="11" name="tblDestinationMonth" displayName="tblDestinationMonth" ref="A4:Q28" headerRowCount="1">
  <autoFilter ref="A4:Q28"/>
  <tableColumns count="17">
    <tableColumn id="1" name="Destination zone"/>
    <tableColumn id="2" name="Month"/>
    <tableColumn id="3" name="Shipments"/>
    <tableColumn id="4" name="Charged weight"/>
    <tableColumn id="5" name="Basic freight"/>
    <tableColumn id="6" name="Total freight"/>
    <tableColumn id="7" name="VAS freight"/>
    <tableColumn id="8" name="Avg shipment base yield"/>
    <tableColumn id="9" name="Avg shipment total yield"/>
    <tableColumn id="10" name="Base yield"/>
    <tableColumn id="11" name="Total yield"/>
    <tableColumn id="12" name="VAS yield"/>
    <tableColumn id="13" name="Yield uplift (total − base)"/>
    <tableColumn id="14" name="Avg weight / shipment"/>
    <tableColumn id="15" name="Weight share %"/>
    <tableColumn id="16" name="Basic freight share %"/>
    <tableColumn id="17" name="Total freight share %"/>
  </tableColumns>
  <tableStyleInfo name="TableStyleMedium2" showRowStripes="1"/>
</table>
</file>

<file path=xl/tables/table12.xml><?xml version="1.0" encoding="utf-8"?>
<table xmlns="http://schemas.openxmlformats.org/spreadsheetml/2006/main" id="12" name="tblDataQuality" displayName="tblDataQuality" ref="A4:J30" headerRowCount="1">
  <autoFilter ref="A4:J30"/>
  <tableColumns count="10">
    <tableColumn id="1" name="Month"/>
    <tableColumn id="2" name="Origin zone"/>
    <tableColumn id="3" name="Destination zone"/>
    <tableColumn id="4" name="Charged weight"/>
    <tableColumn id="5" name="Basic freight"/>
    <tableColumn id="6" name="Total freight"/>
    <tableColumn id="7" name="VAS freight"/>
    <tableColumn id="8" name="Shipment base yield"/>
    <tableColumn id="9" name="Shipment total yield"/>
    <tableColumn id="10" name="Iss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9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6" customHeight="1">
      <c r="A1" s="1" t="inlineStr">
        <is>
          <t>Origin–Destination pair-wise, month-wise yield analysis</t>
        </is>
      </c>
    </row>
    <row r="3" ht="32" customHeight="1">
      <c r="A3" s="2" t="inlineStr">
        <is>
          <t>Field</t>
        </is>
      </c>
      <c r="B3" s="2" t="inlineStr">
        <is>
          <t>Definition</t>
        </is>
      </c>
    </row>
    <row r="4">
      <c r="A4" s="3" t="inlineStr">
        <is>
          <t>Source file</t>
        </is>
      </c>
      <c r="B4" s="4" t="inlineStr">
        <is>
          <t>Book_2_vas.xlsx (Sheet1)</t>
        </is>
      </c>
    </row>
    <row r="5">
      <c r="A5" s="3" t="inlineStr">
        <is>
          <t>Grain</t>
        </is>
      </c>
      <c r="B5" s="4" t="inlineStr">
        <is>
          <t>One row per shipment; analysis rolled up to Origin × Destination × Month</t>
        </is>
      </c>
    </row>
    <row r="6">
      <c r="A6" s="3" t="inlineStr">
        <is>
          <t>Months</t>
        </is>
      </c>
      <c r="B6" s="4" t="inlineStr">
        <is>
          <t>April, May, June, July</t>
        </is>
      </c>
    </row>
    <row r="7">
      <c r="A7" s="3" t="inlineStr">
        <is>
          <t>Base yield</t>
        </is>
      </c>
      <c r="B7" s="4" t="inlineStr">
        <is>
          <t>Basic freight ÷ Charged weight</t>
        </is>
      </c>
    </row>
    <row r="8">
      <c r="A8" s="3" t="inlineStr">
        <is>
          <t>Total yield</t>
        </is>
      </c>
      <c r="B8" s="4" t="inlineStr">
        <is>
          <t>Total freight ÷ Charged weight</t>
        </is>
      </c>
    </row>
    <row r="9">
      <c r="A9" s="3" t="inlineStr">
        <is>
          <t>VAS yield</t>
        </is>
      </c>
      <c r="B9" s="4" t="inlineStr">
        <is>
          <t>(Total freight − Basic freight) ÷ Charged weight</t>
        </is>
      </c>
    </row>
    <row r="10">
      <c r="A10" s="3" t="inlineStr">
        <is>
          <t>Pair-month yield</t>
        </is>
      </c>
      <c r="B10" s="4" t="inlineStr">
        <is>
          <t>Volume-weighted: Σ freight / Σ weight (not the average of shipment yields)</t>
        </is>
      </c>
    </row>
    <row r="11">
      <c r="A11" s="3" t="inlineStr">
        <is>
          <t>Avg shipment yield</t>
        </is>
      </c>
      <c r="B11" s="4" t="inlineStr">
        <is>
          <t>Unweighted mean of shipment-level freight/weight, shown for comparison only</t>
        </is>
      </c>
    </row>
    <row r="12">
      <c r="A12" s="3" t="inlineStr">
        <is>
          <t>Yield uplift</t>
        </is>
      </c>
      <c r="B12" s="4" t="inlineStr">
        <is>
          <t>Total yield − Base yield (VAS contribution per unit weight)</t>
        </is>
      </c>
    </row>
    <row r="13">
      <c r="A13" s="3" t="inlineStr">
        <is>
          <t>MoM change</t>
        </is>
      </c>
      <c r="B13" s="4" t="inlineStr">
        <is>
          <t>Versus the previous month for the same origin–destination pair</t>
        </is>
      </c>
    </row>
    <row r="14">
      <c r="A14" s="3" t="inlineStr">
        <is>
          <t>Zero freight</t>
        </is>
      </c>
      <c r="B14" s="4" t="inlineStr">
        <is>
          <t>Shipments with zero basic/total freight are retained; they lower realized yield</t>
        </is>
      </c>
    </row>
    <row r="15">
      <c r="A15" s="3" t="inlineStr">
        <is>
          <t>Sparse pairs</t>
        </is>
      </c>
      <c r="B15" s="4" t="inlineStr">
        <is>
          <t>Some OD pairs have few shipments; interpret their yield with the shipment count</t>
        </is>
      </c>
    </row>
    <row r="17">
      <c r="A17" s="5" t="inlineStr">
        <is>
          <t>Network snapshot</t>
        </is>
      </c>
    </row>
    <row r="18" ht="32" customHeight="1">
      <c r="A18" s="2" t="inlineStr">
        <is>
          <t>Metric</t>
        </is>
      </c>
      <c r="B18" s="2" t="inlineStr">
        <is>
          <t>Value</t>
        </is>
      </c>
    </row>
    <row r="19">
      <c r="A19" t="inlineStr">
        <is>
          <t>Shipments</t>
        </is>
      </c>
      <c r="B19" t="inlineStr">
        <is>
          <t>40,860</t>
        </is>
      </c>
    </row>
    <row r="20">
      <c r="A20" t="inlineStr">
        <is>
          <t>OD pairs</t>
        </is>
      </c>
      <c r="B20" t="inlineStr">
        <is>
          <t>32</t>
        </is>
      </c>
    </row>
    <row r="21">
      <c r="A21" t="inlineStr">
        <is>
          <t>OD × month combinations</t>
        </is>
      </c>
      <c r="B21" t="inlineStr">
        <is>
          <t>116</t>
        </is>
      </c>
    </row>
    <row r="22">
      <c r="A22" t="inlineStr">
        <is>
          <t>Charged weight</t>
        </is>
      </c>
      <c r="B22" t="inlineStr">
        <is>
          <t>31,330,949.8</t>
        </is>
      </c>
    </row>
    <row r="23">
      <c r="A23" t="inlineStr">
        <is>
          <t>Basic freight</t>
        </is>
      </c>
      <c r="B23" t="inlineStr">
        <is>
          <t>321,921,743.67</t>
        </is>
      </c>
    </row>
    <row r="24">
      <c r="A24" t="inlineStr">
        <is>
          <t>Total freight</t>
        </is>
      </c>
      <c r="B24" t="inlineStr">
        <is>
          <t>405,035,040.65</t>
        </is>
      </c>
    </row>
    <row r="25">
      <c r="A25" t="inlineStr">
        <is>
          <t>Network base yield</t>
        </is>
      </c>
      <c r="B25" t="inlineStr">
        <is>
          <t>10.2749</t>
        </is>
      </c>
    </row>
    <row r="26">
      <c r="A26" t="inlineStr">
        <is>
          <t>Network total yield</t>
        </is>
      </c>
      <c r="B26" t="inlineStr">
        <is>
          <t>12.9276</t>
        </is>
      </c>
    </row>
    <row r="27">
      <c r="A27" t="inlineStr">
        <is>
          <t>Network VAS yield</t>
        </is>
      </c>
      <c r="B27" t="inlineStr">
        <is>
          <t>2.6528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3" customWidth="1" min="8" max="8"/>
    <col width="24" customWidth="1" min="9" max="9"/>
  </cols>
  <sheetData>
    <row r="1" ht="22" customHeight="1">
      <c r="A1" s="6" t="inlineStr">
        <is>
          <t>Key findings — OD pair × month yield</t>
        </is>
      </c>
    </row>
    <row r="2" ht="18" customHeight="1">
      <c r="A2" s="7" t="inlineStr">
        <is>
          <t>Yield = freight ÷ charged weight. Pair-month figures are volume-weighted (Σ freight / Σ weight).</t>
        </is>
      </c>
    </row>
    <row r="3"/>
    <row r="4" ht="32" customHeight="1">
      <c r="A4" s="2" t="inlineStr">
        <is>
          <t>Theme</t>
        </is>
      </c>
      <c r="B4" s="2" t="inlineStr">
        <is>
          <t>Finding</t>
        </is>
      </c>
    </row>
    <row r="5" ht="48" customHeight="1">
      <c r="A5" s="8" t="inlineStr">
        <is>
          <t>Network yield</t>
        </is>
      </c>
      <c r="B5" s="9" t="inlineStr">
        <is>
          <t>Across 40,860 shipments the network earned base yield 10.2749 and total yield 12.9276 (VAS yield 2.6528). Total freight is 25.8% above basic freight.</t>
        </is>
      </c>
    </row>
    <row r="6" ht="48" customHeight="1">
      <c r="A6" s="8" t="inlineStr">
        <is>
          <t>Month trend</t>
        </is>
      </c>
      <c r="B6" s="9" t="inlineStr">
        <is>
          <t>Total yield peaked in June at 13.5854 and was lowest in April at 12.5452. Base yield peaked in June (10.5653) and was lowest in July (9.9875). July vs June: base yield -5.5%, total yield -6.6%.</t>
        </is>
      </c>
    </row>
    <row r="7" ht="48" customHeight="1">
      <c r="A7" s="8" t="inlineStr">
        <is>
          <t>Volume concentration</t>
        </is>
      </c>
      <c r="B7" s="9" t="inlineStr">
        <is>
          <t>The top 5 OD pairs carry 73.3% of charged weight. Largest pair is NORTH ZONE RO → NEPAL ZONE (25.1% of weight, 7,616 shipments) with base yield 8.4419 and total yield 10.8493 — below the network base yield.</t>
        </is>
      </c>
    </row>
    <row r="8" ht="48" customHeight="1">
      <c r="A8" s="8" t="inlineStr">
        <is>
          <t>Highest-yield large pair</t>
        </is>
      </c>
      <c r="B8" s="9" t="inlineStr">
        <is>
          <t>Among pairs with ≥1% of network weight, SOUTH ZONE RO → NEPAL ZONE has the highest total yield (20.8397; base 15.5468).</t>
        </is>
      </c>
    </row>
    <row r="9" ht="48" customHeight="1">
      <c r="A9" s="8" t="inlineStr">
        <is>
          <t>Lowest-yield large pair</t>
        </is>
      </c>
      <c r="B9" s="9" t="inlineStr">
        <is>
          <t>Among pairs with ≥1% of network weight, NORTH EAST ZONE RO → NORTH EAST ZONE RO has the lowest total yield (6.6510; base 5.8831).</t>
        </is>
      </c>
    </row>
    <row r="10" ht="48" customHeight="1">
      <c r="A10" s="8" t="inlineStr">
        <is>
          <t>VAS / yield uplift</t>
        </is>
      </c>
      <c r="B10" s="9" t="inlineStr">
        <is>
          <t>SOUTH ZONE RO → NEPAL ZONE has the strongest VAS yield among large pairs (5.2929 extra freight per unit weight).</t>
        </is>
      </c>
    </row>
    <row r="11" ht="48" customHeight="1">
      <c r="A11" s="8" t="inlineStr">
        <is>
          <t>How to read the workbook</t>
        </is>
      </c>
      <c r="B11" s="9" t="inlineStr">
        <is>
          <t>OD_Month_Yield is the primary grain (origin × destination × month). Pivot sheets show the same yields in matrix form. Use Rankings only for pairs with at least 30 shipments that month. Data_Quality lists zero or inverted freight rows that remain in the totals and pull yield down.</t>
        </is>
      </c>
    </row>
    <row r="12"/>
    <row r="13">
      <c r="A13" s="10" t="inlineStr">
        <is>
          <t>Largest OD pairs vs network yield</t>
        </is>
      </c>
    </row>
    <row r="14" ht="32" customHeight="1">
      <c r="A14" s="11" t="inlineStr">
        <is>
          <t>OD pair</t>
        </is>
      </c>
      <c r="B14" s="11" t="inlineStr">
        <is>
          <t>Shipments</t>
        </is>
      </c>
      <c r="C14" s="11" t="inlineStr">
        <is>
          <t>Charged weight</t>
        </is>
      </c>
      <c r="D14" s="11" t="inlineStr">
        <is>
          <t>Weight share %</t>
        </is>
      </c>
      <c r="E14" s="11" t="inlineStr">
        <is>
          <t>Base yield</t>
        </is>
      </c>
      <c r="F14" s="11" t="inlineStr">
        <is>
          <t>Total yield</t>
        </is>
      </c>
      <c r="G14" s="11" t="inlineStr">
        <is>
          <t>VAS yield</t>
        </is>
      </c>
      <c r="H14" s="11" t="inlineStr">
        <is>
          <t>Base yield vs network</t>
        </is>
      </c>
      <c r="I14" s="11" t="inlineStr">
        <is>
          <t>Total yield vs network</t>
        </is>
      </c>
    </row>
    <row r="15">
      <c r="A15" s="12" t="inlineStr">
        <is>
          <t>NORTH ZONE RO → NEPAL ZONE</t>
        </is>
      </c>
      <c r="B15" s="13" t="n">
        <v>7616</v>
      </c>
      <c r="C15" s="14" t="n">
        <v>7860881.45</v>
      </c>
      <c r="D15" s="15" t="n">
        <v>25.08982814907838</v>
      </c>
      <c r="E15" s="16" t="n">
        <v>8.441914646861898</v>
      </c>
      <c r="F15" s="16" t="n">
        <v>10.84925855992905</v>
      </c>
      <c r="G15" s="16" t="n">
        <v>2.407343913067153</v>
      </c>
      <c r="H15" s="16" t="n">
        <v>-1.832965183735165</v>
      </c>
      <c r="I15" s="16" t="n">
        <v>-2.078375101641402</v>
      </c>
    </row>
    <row r="16">
      <c r="A16" s="12" t="inlineStr">
        <is>
          <t>NORTH ZONE RO → NORTH EAST ZONE RO</t>
        </is>
      </c>
      <c r="B16" s="13" t="n">
        <v>10138</v>
      </c>
      <c r="C16" s="14" t="n">
        <v>5829951.3</v>
      </c>
      <c r="D16" s="15" t="n">
        <v>18.60764306965806</v>
      </c>
      <c r="E16" s="16" t="n">
        <v>11.57991663498115</v>
      </c>
      <c r="F16" s="16" t="n">
        <v>13.74181634587582</v>
      </c>
      <c r="G16" s="16" t="n">
        <v>2.161899710894669</v>
      </c>
      <c r="H16" s="16" t="n">
        <v>1.305036804384091</v>
      </c>
      <c r="I16" s="16" t="n">
        <v>0.8141826843053686</v>
      </c>
    </row>
    <row r="17">
      <c r="A17" s="12" t="inlineStr">
        <is>
          <t>WEST ZONE RO → NEPAL ZONE</t>
        </is>
      </c>
      <c r="B17" s="13" t="n">
        <v>5180</v>
      </c>
      <c r="C17" s="14" t="n">
        <v>4807804.58</v>
      </c>
      <c r="D17" s="15" t="n">
        <v>15.3452245087034</v>
      </c>
      <c r="E17" s="16" t="n">
        <v>12.9662974592033</v>
      </c>
      <c r="F17" s="16" t="n">
        <v>16.83755374474892</v>
      </c>
      <c r="G17" s="16" t="n">
        <v>3.871256285545616</v>
      </c>
      <c r="H17" s="16" t="n">
        <v>2.691417628606239</v>
      </c>
      <c r="I17" s="16" t="n">
        <v>3.909920083178466</v>
      </c>
    </row>
    <row r="18">
      <c r="A18" s="12" t="inlineStr">
        <is>
          <t>NORTH ZONE RO → EAST ZONE RO</t>
        </is>
      </c>
      <c r="B18" s="13" t="n">
        <v>3845</v>
      </c>
      <c r="C18" s="14" t="n">
        <v>2751096.168</v>
      </c>
      <c r="D18" s="15" t="n">
        <v>8.780762121365926</v>
      </c>
      <c r="E18" s="16" t="n">
        <v>8.665959280998861</v>
      </c>
      <c r="F18" s="16" t="n">
        <v>10.93821989940702</v>
      </c>
      <c r="G18" s="16" t="n">
        <v>2.27226061840816</v>
      </c>
      <c r="H18" s="16" t="n">
        <v>-1.608920549598203</v>
      </c>
      <c r="I18" s="16" t="n">
        <v>-1.989413762163434</v>
      </c>
    </row>
    <row r="19">
      <c r="A19" s="12" t="inlineStr">
        <is>
          <t>WEST ZONE RO → NORTH EAST ZONE RO</t>
        </is>
      </c>
      <c r="B19" s="13" t="n">
        <v>2902</v>
      </c>
      <c r="C19" s="14" t="n">
        <v>1703289.31</v>
      </c>
      <c r="D19" s="15" t="n">
        <v>5.436443272664071</v>
      </c>
      <c r="E19" s="16" t="n">
        <v>14.31686267672284</v>
      </c>
      <c r="F19" s="16" t="n">
        <v>17.00094242357454</v>
      </c>
      <c r="G19" s="16" t="n">
        <v>2.684079746851696</v>
      </c>
      <c r="H19" s="16" t="n">
        <v>4.041982846125777</v>
      </c>
      <c r="I19" s="16" t="n">
        <v>4.073308762004082</v>
      </c>
    </row>
    <row r="20">
      <c r="A20" s="12" t="inlineStr">
        <is>
          <t>NORTH EAST ZONE RO → NORTH EAST ZONE RO</t>
        </is>
      </c>
      <c r="B20" s="13" t="n">
        <v>1865</v>
      </c>
      <c r="C20" s="14" t="n">
        <v>1405513.327</v>
      </c>
      <c r="D20" s="15" t="n">
        <v>4.486022090521338</v>
      </c>
      <c r="E20" s="16" t="n">
        <v>5.883146542373554</v>
      </c>
      <c r="F20" s="16" t="n">
        <v>6.651038314914533</v>
      </c>
      <c r="G20" s="16" t="n">
        <v>0.7678917725409798</v>
      </c>
      <c r="H20" s="16" t="n">
        <v>-4.391733288223509</v>
      </c>
      <c r="I20" s="16" t="n">
        <v>-6.27659534665592</v>
      </c>
    </row>
    <row r="21">
      <c r="A21" s="12" t="inlineStr">
        <is>
          <t>WEST ZONE RO → EAST ZONE RO</t>
        </is>
      </c>
      <c r="B21" s="13" t="n">
        <v>1474</v>
      </c>
      <c r="C21" s="14" t="n">
        <v>1129038.28</v>
      </c>
      <c r="D21" s="15" t="n">
        <v>3.603587790899841</v>
      </c>
      <c r="E21" s="16" t="n">
        <v>12.15043970874043</v>
      </c>
      <c r="F21" s="16" t="n">
        <v>15.89794408033712</v>
      </c>
      <c r="G21" s="16" t="n">
        <v>3.747504371596683</v>
      </c>
      <c r="H21" s="16" t="n">
        <v>1.87555987814337</v>
      </c>
      <c r="I21" s="16" t="n">
        <v>2.970310418766664</v>
      </c>
    </row>
    <row r="22">
      <c r="A22" s="12" t="inlineStr">
        <is>
          <t>SOUTH ZONE RO → NEPAL ZONE</t>
        </is>
      </c>
      <c r="B22" s="13" t="n">
        <v>1047</v>
      </c>
      <c r="C22" s="14" t="n">
        <v>1101558.19</v>
      </c>
      <c r="D22" s="15" t="n">
        <v>3.515878703820146</v>
      </c>
      <c r="E22" s="16" t="n">
        <v>15.54677399293813</v>
      </c>
      <c r="F22" s="16" t="n">
        <v>20.83971856266622</v>
      </c>
      <c r="G22" s="16" t="n">
        <v>5.292944569728087</v>
      </c>
      <c r="H22" s="16" t="n">
        <v>5.271894162341066</v>
      </c>
      <c r="I22" s="16" t="n">
        <v>7.912084901095763</v>
      </c>
    </row>
    <row r="23">
      <c r="A23" s="12" t="inlineStr">
        <is>
          <t>EAST ZONE RO → NORTH EAST ZONE RO</t>
        </is>
      </c>
      <c r="B23" s="13" t="n">
        <v>2559</v>
      </c>
      <c r="C23" s="14" t="n">
        <v>1007472.11</v>
      </c>
      <c r="D23" s="15" t="n">
        <v>3.215581136246418</v>
      </c>
      <c r="E23" s="16" t="n">
        <v>8.182080385331957</v>
      </c>
      <c r="F23" s="16" t="n">
        <v>10.19266130354715</v>
      </c>
      <c r="G23" s="16" t="n">
        <v>2.010580918215195</v>
      </c>
      <c r="H23" s="16" t="n">
        <v>-2.092799445265106</v>
      </c>
      <c r="I23" s="16" t="n">
        <v>-2.734972358023301</v>
      </c>
    </row>
    <row r="24">
      <c r="A24" s="12" t="inlineStr">
        <is>
          <t>EAST ZONE RO → NEPAL ZONE</t>
        </is>
      </c>
      <c r="B24" s="13" t="n">
        <v>807</v>
      </c>
      <c r="C24" s="14" t="n">
        <v>638884.192</v>
      </c>
      <c r="D24" s="15" t="n">
        <v>2.039147223679705</v>
      </c>
      <c r="E24" s="16" t="n">
        <v>8.023637326121225</v>
      </c>
      <c r="F24" s="16" t="n">
        <v>11.30181406961467</v>
      </c>
      <c r="G24" s="16" t="n">
        <v>3.278176743493443</v>
      </c>
      <c r="H24" s="16" t="n">
        <v>-2.251242504475838</v>
      </c>
      <c r="I24" s="16" t="n">
        <v>-1.625819591955786</v>
      </c>
    </row>
    <row r="25"/>
    <row r="26">
      <c r="A26" s="10" t="inlineStr">
        <is>
          <t>High-volume pairs still below network base yield</t>
        </is>
      </c>
    </row>
    <row r="27" ht="32" customHeight="1">
      <c r="A27" s="11" t="inlineStr">
        <is>
          <t>OD pair</t>
        </is>
      </c>
      <c r="B27" s="11" t="inlineStr">
        <is>
          <t>Shipments</t>
        </is>
      </c>
      <c r="C27" s="11" t="inlineStr">
        <is>
          <t>Charged weight</t>
        </is>
      </c>
      <c r="D27" s="11" t="inlineStr">
        <is>
          <t>Weight share %</t>
        </is>
      </c>
      <c r="E27" s="11" t="inlineStr">
        <is>
          <t>Base yield</t>
        </is>
      </c>
      <c r="F27" s="11" t="inlineStr">
        <is>
          <t>Total yield</t>
        </is>
      </c>
    </row>
    <row r="28">
      <c r="A28" s="12" t="inlineStr">
        <is>
          <t>NORTH ZONE RO → NEPAL ZONE</t>
        </is>
      </c>
      <c r="B28" s="13" t="n">
        <v>7616</v>
      </c>
      <c r="C28" s="14" t="n">
        <v>7860881.45</v>
      </c>
      <c r="D28" s="15" t="n">
        <v>25.08982814907838</v>
      </c>
      <c r="E28" s="16" t="n">
        <v>8.441914646861898</v>
      </c>
      <c r="F28" s="16" t="n">
        <v>10.84925855992905</v>
      </c>
    </row>
    <row r="29">
      <c r="A29" s="12" t="inlineStr">
        <is>
          <t>NORTH ZONE RO → EAST ZONE RO</t>
        </is>
      </c>
      <c r="B29" s="13" t="n">
        <v>3845</v>
      </c>
      <c r="C29" s="14" t="n">
        <v>2751096.168</v>
      </c>
      <c r="D29" s="15" t="n">
        <v>8.780762121365926</v>
      </c>
      <c r="E29" s="16" t="n">
        <v>8.665959280998861</v>
      </c>
      <c r="F29" s="16" t="n">
        <v>10.93821989940702</v>
      </c>
    </row>
    <row r="30">
      <c r="A30" s="12" t="inlineStr">
        <is>
          <t>NORTH EAST ZONE RO → NORTH EAST ZONE RO</t>
        </is>
      </c>
      <c r="B30" s="13" t="n">
        <v>1865</v>
      </c>
      <c r="C30" s="14" t="n">
        <v>1405513.327</v>
      </c>
      <c r="D30" s="15" t="n">
        <v>4.486022090521338</v>
      </c>
      <c r="E30" s="16" t="n">
        <v>5.883146542373554</v>
      </c>
      <c r="F30" s="16" t="n">
        <v>6.651038314914533</v>
      </c>
    </row>
  </sheetData>
  <mergeCells count="2">
    <mergeCell ref="A2:F2"/>
    <mergeCell ref="A1:F1"/>
  </mergeCells>
  <conditionalFormatting sqref="E15:E24">
    <cfRule type="colorScale" priority="1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F15:F24">
    <cfRule type="colorScale" priority="2">
      <colorScale>
        <cfvo type="min"/>
        <cfvo type="percentile" val="50"/>
        <cfvo type="max"/>
        <color rgb="00F4C7C3"/>
        <color rgb="00FFF2CC"/>
        <color rgb="00B7E1CD"/>
      </colorScale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2" customWidth="1" min="4" max="4"/>
    <col width="12" customWidth="1" min="5" max="5"/>
    <col width="19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8" customWidth="1" min="13" max="13"/>
    <col width="25" customWidth="1" min="14" max="14"/>
    <col width="26" customWidth="1" min="15" max="15"/>
    <col width="23" customWidth="1" min="16" max="16"/>
    <col width="23" customWidth="1" min="17" max="17"/>
    <col width="23" customWidth="1" min="18" max="18"/>
    <col width="23" customWidth="1" min="19" max="19"/>
    <col width="21" customWidth="1" min="20" max="20"/>
    <col width="22" customWidth="1" min="21" max="21"/>
    <col width="21" customWidth="1" min="22" max="22"/>
    <col width="21" customWidth="1" min="23" max="23"/>
  </cols>
  <sheetData>
    <row r="1" ht="22" customHeight="1">
      <c r="A1" s="6" t="inlineStr">
        <is>
          <t>Origin–Destination × Month yield</t>
        </is>
      </c>
    </row>
    <row r="2" ht="18" customHeight="1">
      <c r="A2" s="7" t="inlineStr">
        <is>
          <t>Base yield = Σ basic freight / Σ charged weight; Total yield = Σ total freight / Σ charged weight</t>
        </is>
      </c>
    </row>
    <row r="3"/>
    <row r="4" ht="32" customHeight="1">
      <c r="A4" s="11" t="inlineStr">
        <is>
          <t>Origin zone</t>
        </is>
      </c>
      <c r="B4" s="11" t="inlineStr">
        <is>
          <t>Destination zone</t>
        </is>
      </c>
      <c r="C4" s="11" t="inlineStr">
        <is>
          <t>OD pair</t>
        </is>
      </c>
      <c r="D4" s="11" t="inlineStr">
        <is>
          <t>Month</t>
        </is>
      </c>
      <c r="E4" s="11" t="inlineStr">
        <is>
          <t>Shipments</t>
        </is>
      </c>
      <c r="F4" s="11" t="inlineStr">
        <is>
          <t>Charged weight</t>
        </is>
      </c>
      <c r="G4" s="11" t="inlineStr">
        <is>
          <t>Basic freight</t>
        </is>
      </c>
      <c r="H4" s="11" t="inlineStr">
        <is>
          <t>Total freight</t>
        </is>
      </c>
      <c r="I4" s="11" t="inlineStr">
        <is>
          <t>VAS freight</t>
        </is>
      </c>
      <c r="J4" s="11" t="inlineStr">
        <is>
          <t>Base yield</t>
        </is>
      </c>
      <c r="K4" s="11" t="inlineStr">
        <is>
          <t>Total yield</t>
        </is>
      </c>
      <c r="L4" s="11" t="inlineStr">
        <is>
          <t>VAS yield</t>
        </is>
      </c>
      <c r="M4" s="11" t="inlineStr">
        <is>
          <t>Yield uplift (total − base)</t>
        </is>
      </c>
      <c r="N4" s="11" t="inlineStr">
        <is>
          <t>Avg shipment base yield</t>
        </is>
      </c>
      <c r="O4" s="11" t="inlineStr">
        <is>
          <t>Avg shipment total yield</t>
        </is>
      </c>
      <c r="P4" s="11" t="inlineStr">
        <is>
          <t>Avg weight / shipment</t>
        </is>
      </c>
      <c r="Q4" s="11" t="inlineStr">
        <is>
          <t>Weight share %</t>
        </is>
      </c>
      <c r="R4" s="11" t="inlineStr">
        <is>
          <t>Total freight share %</t>
        </is>
      </c>
      <c r="S4" s="11" t="inlineStr">
        <is>
          <t>Base yield MoM abs</t>
        </is>
      </c>
      <c r="T4" s="11" t="inlineStr">
        <is>
          <t>Base yield MoM %</t>
        </is>
      </c>
      <c r="U4" s="11" t="inlineStr">
        <is>
          <t>Total yield MoM abs</t>
        </is>
      </c>
      <c r="V4" s="11" t="inlineStr">
        <is>
          <t>Total yield MoM %</t>
        </is>
      </c>
      <c r="W4" s="11" t="inlineStr">
        <is>
          <t>Weight MoM %</t>
        </is>
      </c>
    </row>
    <row r="5">
      <c r="A5" s="12" t="inlineStr">
        <is>
          <t>NORTH ZONE RO</t>
        </is>
      </c>
      <c r="B5" s="12" t="inlineStr">
        <is>
          <t>NORTH ZONE RO</t>
        </is>
      </c>
      <c r="C5" s="12" t="inlineStr">
        <is>
          <t>NORTH ZONE RO → NORTH ZONE RO</t>
        </is>
      </c>
      <c r="D5" s="12" t="inlineStr">
        <is>
          <t>April</t>
        </is>
      </c>
      <c r="E5" s="13" t="n">
        <v>64</v>
      </c>
      <c r="F5" s="14" t="n">
        <v>24160</v>
      </c>
      <c r="G5" s="14" t="n">
        <v>167236.5</v>
      </c>
      <c r="H5" s="14" t="n">
        <v>216892.61</v>
      </c>
      <c r="I5" s="14" t="n">
        <v>49656.11</v>
      </c>
      <c r="J5" s="16" t="n">
        <v>6.922040562913907</v>
      </c>
      <c r="K5" s="16" t="n">
        <v>8.977343129139072</v>
      </c>
      <c r="L5" s="16" t="n">
        <v>2.055302566225166</v>
      </c>
      <c r="M5" s="16" t="n">
        <v>2.055302566225165</v>
      </c>
      <c r="N5" s="16" t="n">
        <v>7.6203125</v>
      </c>
      <c r="O5" s="16" t="n">
        <v>12.54444599456969</v>
      </c>
      <c r="P5" s="14" t="n">
        <v>377.5</v>
      </c>
      <c r="Q5" s="15" t="n">
        <v>0.07711224904450552</v>
      </c>
      <c r="R5" s="15" t="n">
        <v>0.05354909778964578</v>
      </c>
      <c r="S5" s="12" t="n"/>
      <c r="T5" s="12" t="n"/>
      <c r="U5" s="12" t="n"/>
      <c r="V5" s="12" t="n"/>
      <c r="W5" s="12" t="n"/>
    </row>
    <row r="6">
      <c r="A6" s="12" t="inlineStr">
        <is>
          <t>NORTH ZONE RO</t>
        </is>
      </c>
      <c r="B6" s="12" t="inlineStr">
        <is>
          <t>NORTH ZONE RO</t>
        </is>
      </c>
      <c r="C6" s="12" t="inlineStr">
        <is>
          <t>NORTH ZONE RO → NORTH ZONE RO</t>
        </is>
      </c>
      <c r="D6" s="12" t="inlineStr">
        <is>
          <t>May</t>
        </is>
      </c>
      <c r="E6" s="13" t="n">
        <v>49</v>
      </c>
      <c r="F6" s="14" t="n">
        <v>43461</v>
      </c>
      <c r="G6" s="14" t="n">
        <v>206741</v>
      </c>
      <c r="H6" s="14" t="n">
        <v>269924.26</v>
      </c>
      <c r="I6" s="14" t="n">
        <v>63183.26</v>
      </c>
      <c r="J6" s="16" t="n">
        <v>4.756931501806217</v>
      </c>
      <c r="K6" s="16" t="n">
        <v>6.210723637284002</v>
      </c>
      <c r="L6" s="16" t="n">
        <v>1.453792135477785</v>
      </c>
      <c r="M6" s="16" t="n">
        <v>1.453792135477785</v>
      </c>
      <c r="N6" s="16" t="n">
        <v>6.465918367346938</v>
      </c>
      <c r="O6" s="16" t="n">
        <v>10.06957305505588</v>
      </c>
      <c r="P6" s="14" t="n">
        <v>886.9591836734694</v>
      </c>
      <c r="Q6" s="15" t="n">
        <v>0.1387158715117241</v>
      </c>
      <c r="R6" s="15" t="n">
        <v>0.06664219954076707</v>
      </c>
      <c r="S6" s="16" t="n">
        <v>-2.165109061107691</v>
      </c>
      <c r="T6" s="15" t="n">
        <v>-31.27847982728759</v>
      </c>
      <c r="U6" s="16" t="n">
        <v>-2.76661949185507</v>
      </c>
      <c r="V6" s="15" t="n">
        <v>-30.81779822891084</v>
      </c>
      <c r="W6" s="15" t="n">
        <v>79.88824503311258</v>
      </c>
    </row>
    <row r="7">
      <c r="A7" s="12" t="inlineStr">
        <is>
          <t>NORTH ZONE RO</t>
        </is>
      </c>
      <c r="B7" s="12" t="inlineStr">
        <is>
          <t>NORTH ZONE RO</t>
        </is>
      </c>
      <c r="C7" s="12" t="inlineStr">
        <is>
          <t>NORTH ZONE RO → NORTH ZONE RO</t>
        </is>
      </c>
      <c r="D7" s="12" t="inlineStr">
        <is>
          <t>June</t>
        </is>
      </c>
      <c r="E7" s="13" t="n">
        <v>35</v>
      </c>
      <c r="F7" s="14" t="n">
        <v>38050</v>
      </c>
      <c r="G7" s="14" t="n">
        <v>209183.1</v>
      </c>
      <c r="H7" s="14" t="n">
        <v>271623.61</v>
      </c>
      <c r="I7" s="14" t="n">
        <v>62440.51</v>
      </c>
      <c r="J7" s="16" t="n">
        <v>5.497584756898817</v>
      </c>
      <c r="K7" s="16" t="n">
        <v>7.138596846254927</v>
      </c>
      <c r="L7" s="16" t="n">
        <v>1.64101208935611</v>
      </c>
      <c r="M7" s="16" t="n">
        <v>1.64101208935611</v>
      </c>
      <c r="N7" s="16" t="n">
        <v>6.58875920800511</v>
      </c>
      <c r="O7" s="16" t="n">
        <v>10.11809948909841</v>
      </c>
      <c r="P7" s="14" t="n">
        <v>1087.142857142857</v>
      </c>
      <c r="Q7" s="15" t="n">
        <v>0.1214454087807713</v>
      </c>
      <c r="R7" s="15" t="n">
        <v>0.06706175583329743</v>
      </c>
      <c r="S7" s="16" t="n">
        <v>0.7406532550926004</v>
      </c>
      <c r="T7" s="15" t="n">
        <v>15.56997940397865</v>
      </c>
      <c r="U7" s="16" t="n">
        <v>0.927873208970925</v>
      </c>
      <c r="V7" s="15" t="n">
        <v>14.93985666019252</v>
      </c>
      <c r="W7" s="15" t="n">
        <v>-12.45024274637031</v>
      </c>
    </row>
    <row r="8">
      <c r="A8" s="12" t="inlineStr">
        <is>
          <t>NORTH ZONE RO</t>
        </is>
      </c>
      <c r="B8" s="12" t="inlineStr">
        <is>
          <t>NORTH ZONE RO</t>
        </is>
      </c>
      <c r="C8" s="12" t="inlineStr">
        <is>
          <t>NORTH ZONE RO → NORTH ZONE RO</t>
        </is>
      </c>
      <c r="D8" s="12" t="inlineStr">
        <is>
          <t>July</t>
        </is>
      </c>
      <c r="E8" s="13" t="n">
        <v>50</v>
      </c>
      <c r="F8" s="14" t="n">
        <v>61320</v>
      </c>
      <c r="G8" s="14" t="n">
        <v>276274.45</v>
      </c>
      <c r="H8" s="14" t="n">
        <v>319375.42</v>
      </c>
      <c r="I8" s="14" t="n">
        <v>43100.97</v>
      </c>
      <c r="J8" s="16" t="n">
        <v>4.505454174820613</v>
      </c>
      <c r="K8" s="16" t="n">
        <v>5.208340182648402</v>
      </c>
      <c r="L8" s="16" t="n">
        <v>0.7028860078277887</v>
      </c>
      <c r="M8" s="16" t="n">
        <v>0.7028860078277885</v>
      </c>
      <c r="N8" s="16" t="n">
        <v>5.745</v>
      </c>
      <c r="O8" s="16" t="n">
        <v>8.520454433840129</v>
      </c>
      <c r="P8" s="14" t="n">
        <v>1226.4</v>
      </c>
      <c r="Q8" s="15" t="n">
        <v>0.1957170162007069</v>
      </c>
      <c r="R8" s="15" t="n">
        <v>0.07885130617031715</v>
      </c>
      <c r="S8" s="16" t="n">
        <v>-0.9921305820782038</v>
      </c>
      <c r="T8" s="15" t="n">
        <v>-18.04666277919949</v>
      </c>
      <c r="U8" s="16" t="n">
        <v>-1.930256663606525</v>
      </c>
      <c r="V8" s="15" t="n">
        <v>-27.03972090284357</v>
      </c>
      <c r="W8" s="15" t="n">
        <v>61.15637319316689</v>
      </c>
    </row>
    <row r="9">
      <c r="A9" s="12" t="inlineStr">
        <is>
          <t>NORTH ZONE RO</t>
        </is>
      </c>
      <c r="B9" s="12" t="inlineStr">
        <is>
          <t>EAST ZONE RO</t>
        </is>
      </c>
      <c r="C9" s="12" t="inlineStr">
        <is>
          <t>NORTH ZONE RO → EAST ZONE RO</t>
        </is>
      </c>
      <c r="D9" s="12" t="inlineStr">
        <is>
          <t>April</t>
        </is>
      </c>
      <c r="E9" s="13" t="n">
        <v>940</v>
      </c>
      <c r="F9" s="14" t="n">
        <v>723453.1</v>
      </c>
      <c r="G9" s="14" t="n">
        <v>6268201.31</v>
      </c>
      <c r="H9" s="14" t="n">
        <v>7803323.55</v>
      </c>
      <c r="I9" s="14" t="n">
        <v>1535122.24</v>
      </c>
      <c r="J9" s="16" t="n">
        <v>8.66428149938123</v>
      </c>
      <c r="K9" s="16" t="n">
        <v>10.78621896844453</v>
      </c>
      <c r="L9" s="16" t="n">
        <v>2.121937469063302</v>
      </c>
      <c r="M9" s="16" t="n">
        <v>2.121937469063303</v>
      </c>
      <c r="N9" s="16" t="n">
        <v>9.290327267544534</v>
      </c>
      <c r="O9" s="16" t="n">
        <v>13.7606929061902</v>
      </c>
      <c r="P9" s="14" t="n">
        <v>769.6309574468085</v>
      </c>
      <c r="Q9" s="15" t="n">
        <v>2.309068527285578</v>
      </c>
      <c r="R9" s="15" t="n">
        <v>1.926579867627559</v>
      </c>
      <c r="S9" s="12" t="n"/>
      <c r="T9" s="12" t="n"/>
      <c r="U9" s="12" t="n"/>
      <c r="V9" s="12" t="n"/>
      <c r="W9" s="12" t="n"/>
    </row>
    <row r="10">
      <c r="A10" s="12" t="inlineStr">
        <is>
          <t>NORTH ZONE RO</t>
        </is>
      </c>
      <c r="B10" s="12" t="inlineStr">
        <is>
          <t>EAST ZONE RO</t>
        </is>
      </c>
      <c r="C10" s="12" t="inlineStr">
        <is>
          <t>NORTH ZONE RO → EAST ZONE RO</t>
        </is>
      </c>
      <c r="D10" s="12" t="inlineStr">
        <is>
          <t>May</t>
        </is>
      </c>
      <c r="E10" s="13" t="n">
        <v>945</v>
      </c>
      <c r="F10" s="14" t="n">
        <v>677557.75</v>
      </c>
      <c r="G10" s="14" t="n">
        <v>5897133.17</v>
      </c>
      <c r="H10" s="14" t="n">
        <v>7526038.88</v>
      </c>
      <c r="I10" s="14" t="n">
        <v>1628905.71</v>
      </c>
      <c r="J10" s="16" t="n">
        <v>8.703513715251578</v>
      </c>
      <c r="K10" s="16" t="n">
        <v>11.10759766233948</v>
      </c>
      <c r="L10" s="16" t="n">
        <v>2.404083947087905</v>
      </c>
      <c r="M10" s="16" t="n">
        <v>2.404083947087905</v>
      </c>
      <c r="N10" s="16" t="n">
        <v>9.334043635376629</v>
      </c>
      <c r="O10" s="16" t="n">
        <v>15.02186888934965</v>
      </c>
      <c r="P10" s="14" t="n">
        <v>716.992328042328</v>
      </c>
      <c r="Q10" s="15" t="n">
        <v>2.162582862584222</v>
      </c>
      <c r="R10" s="15" t="n">
        <v>1.858120440128394</v>
      </c>
      <c r="S10" s="16" t="n">
        <v>0.03923221587034753</v>
      </c>
      <c r="T10" s="15" t="n">
        <v>0.4528040308148961</v>
      </c>
      <c r="U10" s="16" t="n">
        <v>0.3213786938949497</v>
      </c>
      <c r="V10" s="15" t="n">
        <v>2.979530592093063</v>
      </c>
      <c r="W10" s="15" t="n">
        <v>-6.343928860073995</v>
      </c>
    </row>
    <row r="11">
      <c r="A11" s="12" t="inlineStr">
        <is>
          <t>NORTH ZONE RO</t>
        </is>
      </c>
      <c r="B11" s="12" t="inlineStr">
        <is>
          <t>EAST ZONE RO</t>
        </is>
      </c>
      <c r="C11" s="12" t="inlineStr">
        <is>
          <t>NORTH ZONE RO → EAST ZONE RO</t>
        </is>
      </c>
      <c r="D11" s="12" t="inlineStr">
        <is>
          <t>June</t>
        </is>
      </c>
      <c r="E11" s="13" t="n">
        <v>912</v>
      </c>
      <c r="F11" s="14" t="n">
        <v>637447.318</v>
      </c>
      <c r="G11" s="14" t="n">
        <v>5675562.7</v>
      </c>
      <c r="H11" s="14" t="n">
        <v>7272253.95</v>
      </c>
      <c r="I11" s="14" t="n">
        <v>1596691.25</v>
      </c>
      <c r="J11" s="16" t="n">
        <v>8.903579228801462</v>
      </c>
      <c r="K11" s="16" t="n">
        <v>11.40839994874682</v>
      </c>
      <c r="L11" s="16" t="n">
        <v>2.504820719945362</v>
      </c>
      <c r="M11" s="16" t="n">
        <v>2.504820719945362</v>
      </c>
      <c r="N11" s="16" t="n">
        <v>9.226323760675966</v>
      </c>
      <c r="O11" s="16" t="n">
        <v>14.34462484564878</v>
      </c>
      <c r="P11" s="14" t="n">
        <v>698.9553925438596</v>
      </c>
      <c r="Q11" s="15" t="n">
        <v>2.034561106720534</v>
      </c>
      <c r="R11" s="15" t="n">
        <v>1.795462915586141</v>
      </c>
      <c r="S11" s="16" t="n">
        <v>0.2000655135498839</v>
      </c>
      <c r="T11" s="15" t="n">
        <v>2.298675225837809</v>
      </c>
      <c r="U11" s="16" t="n">
        <v>0.3008022864073414</v>
      </c>
      <c r="V11" s="15" t="n">
        <v>2.708076899717184</v>
      </c>
      <c r="W11" s="15" t="n">
        <v>-5.919854359277867</v>
      </c>
    </row>
    <row r="12">
      <c r="A12" s="12" t="inlineStr">
        <is>
          <t>NORTH ZONE RO</t>
        </is>
      </c>
      <c r="B12" s="12" t="inlineStr">
        <is>
          <t>EAST ZONE RO</t>
        </is>
      </c>
      <c r="C12" s="12" t="inlineStr">
        <is>
          <t>NORTH ZONE RO → EAST ZONE RO</t>
        </is>
      </c>
      <c r="D12" s="12" t="inlineStr">
        <is>
          <t>July</t>
        </is>
      </c>
      <c r="E12" s="13" t="n">
        <v>1048</v>
      </c>
      <c r="F12" s="14" t="n">
        <v>712638</v>
      </c>
      <c r="G12" s="14" t="n">
        <v>5999990.19</v>
      </c>
      <c r="H12" s="14" t="n">
        <v>7490478.47</v>
      </c>
      <c r="I12" s="14" t="n">
        <v>1490488.28</v>
      </c>
      <c r="J12" s="16" t="n">
        <v>8.419408156735958</v>
      </c>
      <c r="K12" s="16" t="n">
        <v>10.51091644004389</v>
      </c>
      <c r="L12" s="16" t="n">
        <v>2.091508283307935</v>
      </c>
      <c r="M12" s="16" t="n">
        <v>2.091508283307935</v>
      </c>
      <c r="N12" s="16" t="n">
        <v>9.0292932453081</v>
      </c>
      <c r="O12" s="16" t="n">
        <v>13.20520124095476</v>
      </c>
      <c r="P12" s="14" t="n">
        <v>679.9980916030535</v>
      </c>
      <c r="Q12" s="15" t="n">
        <v>2.274549624775593</v>
      </c>
      <c r="R12" s="15" t="n">
        <v>1.84934085159133</v>
      </c>
      <c r="S12" s="16" t="n">
        <v>-0.4841710720655037</v>
      </c>
      <c r="T12" s="15" t="n">
        <v>-5.437937481359162</v>
      </c>
      <c r="U12" s="16" t="n">
        <v>-0.8974835087029316</v>
      </c>
      <c r="V12" s="15" t="n">
        <v>-7.866865754487485</v>
      </c>
      <c r="W12" s="15" t="n">
        <v>11.79559155349682</v>
      </c>
    </row>
    <row r="13">
      <c r="A13" s="12" t="inlineStr">
        <is>
          <t>NORTH ZONE RO</t>
        </is>
      </c>
      <c r="B13" s="12" t="inlineStr">
        <is>
          <t>WEST ZONE RO</t>
        </is>
      </c>
      <c r="C13" s="12" t="inlineStr">
        <is>
          <t>NORTH ZONE RO → WEST ZONE RO</t>
        </is>
      </c>
      <c r="D13" s="12" t="inlineStr">
        <is>
          <t>April</t>
        </is>
      </c>
      <c r="E13" s="13" t="n">
        <v>1</v>
      </c>
      <c r="F13" s="14" t="n">
        <v>2400</v>
      </c>
      <c r="G13" s="14" t="n">
        <v>18480</v>
      </c>
      <c r="H13" s="14" t="n">
        <v>20000</v>
      </c>
      <c r="I13" s="14" t="n">
        <v>1520</v>
      </c>
      <c r="J13" s="16" t="n">
        <v>7.7</v>
      </c>
      <c r="K13" s="16" t="n">
        <v>8.333333333333334</v>
      </c>
      <c r="L13" s="16" t="n">
        <v>0.6333333333333333</v>
      </c>
      <c r="M13" s="16" t="n">
        <v>0.6333333333333337</v>
      </c>
      <c r="N13" s="16" t="n">
        <v>7.7</v>
      </c>
      <c r="O13" s="16" t="n">
        <v>8.333333333333334</v>
      </c>
      <c r="P13" s="14" t="n">
        <v>2400</v>
      </c>
      <c r="Q13" s="15" t="n">
        <v>0.007660157189851542</v>
      </c>
      <c r="R13" s="15" t="n">
        <v>0.004937844382032728</v>
      </c>
      <c r="S13" s="12" t="n"/>
      <c r="T13" s="12" t="n"/>
      <c r="U13" s="12" t="n"/>
      <c r="V13" s="12" t="n"/>
      <c r="W13" s="12" t="n"/>
    </row>
    <row r="14">
      <c r="A14" s="12" t="inlineStr">
        <is>
          <t>NORTH ZONE RO</t>
        </is>
      </c>
      <c r="B14" s="12" t="inlineStr">
        <is>
          <t>WEST ZONE RO</t>
        </is>
      </c>
      <c r="C14" s="12" t="inlineStr">
        <is>
          <t>NORTH ZONE RO → WEST ZONE RO</t>
        </is>
      </c>
      <c r="D14" s="12" t="inlineStr">
        <is>
          <t>May</t>
        </is>
      </c>
      <c r="E14" s="13" t="n">
        <v>10</v>
      </c>
      <c r="F14" s="14" t="n">
        <v>28968</v>
      </c>
      <c r="G14" s="14" t="n">
        <v>181699.6</v>
      </c>
      <c r="H14" s="14" t="n">
        <v>200276.6</v>
      </c>
      <c r="I14" s="14" t="n">
        <v>18577</v>
      </c>
      <c r="J14" s="16" t="n">
        <v>6.272424744545706</v>
      </c>
      <c r="K14" s="16" t="n">
        <v>6.91371858602596</v>
      </c>
      <c r="L14" s="16" t="n">
        <v>0.641293841480254</v>
      </c>
      <c r="M14" s="16" t="n">
        <v>0.6412938414802536</v>
      </c>
      <c r="N14" s="16" t="n">
        <v>7.656999999999999</v>
      </c>
      <c r="O14" s="16" t="n">
        <v>9.231413437426932</v>
      </c>
      <c r="P14" s="14" t="n">
        <v>2896.8</v>
      </c>
      <c r="Q14" s="15" t="n">
        <v>0.09245809728150811</v>
      </c>
      <c r="R14" s="15" t="n">
        <v>0.04944673420813079</v>
      </c>
      <c r="S14" s="16" t="n">
        <v>-1.427575255454294</v>
      </c>
      <c r="T14" s="15" t="n">
        <v>-18.5399383825233</v>
      </c>
      <c r="U14" s="16" t="n">
        <v>-1.419614747307374</v>
      </c>
      <c r="V14" s="15" t="n">
        <v>-17.03537696768849</v>
      </c>
      <c r="W14" s="15" t="n">
        <v>1107</v>
      </c>
    </row>
    <row r="15">
      <c r="A15" s="12" t="inlineStr">
        <is>
          <t>NORTH ZONE RO</t>
        </is>
      </c>
      <c r="B15" s="12" t="inlineStr">
        <is>
          <t>WEST ZONE RO</t>
        </is>
      </c>
      <c r="C15" s="12" t="inlineStr">
        <is>
          <t>NORTH ZONE RO → WEST ZONE RO</t>
        </is>
      </c>
      <c r="D15" s="12" t="inlineStr">
        <is>
          <t>June</t>
        </is>
      </c>
      <c r="E15" s="13" t="n">
        <v>8</v>
      </c>
      <c r="F15" s="14" t="n">
        <v>18240</v>
      </c>
      <c r="G15" s="14" t="n">
        <v>94865</v>
      </c>
      <c r="H15" s="14" t="n">
        <v>109731</v>
      </c>
      <c r="I15" s="14" t="n">
        <v>14866</v>
      </c>
      <c r="J15" s="16" t="n">
        <v>5.20093201754386</v>
      </c>
      <c r="K15" s="16" t="n">
        <v>6.015953947368421</v>
      </c>
      <c r="L15" s="16" t="n">
        <v>0.8150219298245615</v>
      </c>
      <c r="M15" s="16" t="n">
        <v>0.8150219298245611</v>
      </c>
      <c r="N15" s="16" t="n">
        <v>5.78375</v>
      </c>
      <c r="O15" s="16" t="n">
        <v>6.763553915811521</v>
      </c>
      <c r="P15" s="14" t="n">
        <v>2280</v>
      </c>
      <c r="Q15" s="15" t="n">
        <v>0.05821719464287171</v>
      </c>
      <c r="R15" s="15" t="n">
        <v>0.02709173009424166</v>
      </c>
      <c r="S15" s="16" t="n">
        <v>-1.071492727001846</v>
      </c>
      <c r="T15" s="15" t="n">
        <v>-17.08259199018021</v>
      </c>
      <c r="U15" s="16" t="n">
        <v>-0.8977646386575389</v>
      </c>
      <c r="V15" s="15" t="n">
        <v>-12.98526440564279</v>
      </c>
      <c r="W15" s="15" t="n">
        <v>-37.03396851698426</v>
      </c>
    </row>
    <row r="16">
      <c r="A16" s="12" t="inlineStr">
        <is>
          <t>NORTH ZONE RO</t>
        </is>
      </c>
      <c r="B16" s="12" t="inlineStr">
        <is>
          <t>WEST ZONE RO</t>
        </is>
      </c>
      <c r="C16" s="12" t="inlineStr">
        <is>
          <t>NORTH ZONE RO → WEST ZONE RO</t>
        </is>
      </c>
      <c r="D16" s="12" t="inlineStr">
        <is>
          <t>July</t>
        </is>
      </c>
      <c r="E16" s="13" t="n">
        <v>3</v>
      </c>
      <c r="F16" s="14" t="n">
        <v>7230</v>
      </c>
      <c r="G16" s="14" t="n">
        <v>72338</v>
      </c>
      <c r="H16" s="14" t="n">
        <v>84214</v>
      </c>
      <c r="I16" s="14" t="n">
        <v>11876</v>
      </c>
      <c r="J16" s="16" t="n">
        <v>10.00525587828492</v>
      </c>
      <c r="K16" s="16" t="n">
        <v>11.6478561549101</v>
      </c>
      <c r="L16" s="16" t="n">
        <v>1.642600276625173</v>
      </c>
      <c r="M16" s="16" t="n">
        <v>1.642600276625172</v>
      </c>
      <c r="N16" s="16" t="n">
        <v>9.183333333333332</v>
      </c>
      <c r="O16" s="16" t="n">
        <v>10.79370878062208</v>
      </c>
      <c r="P16" s="14" t="n">
        <v>2410</v>
      </c>
      <c r="Q16" s="15" t="n">
        <v>0.02307622353442777</v>
      </c>
      <c r="R16" s="15" t="n">
        <v>0.02079178133942521</v>
      </c>
      <c r="S16" s="16" t="n">
        <v>4.804323860741064</v>
      </c>
      <c r="T16" s="15" t="n">
        <v>92.37428684964635</v>
      </c>
      <c r="U16" s="16" t="n">
        <v>5.631902207541676</v>
      </c>
      <c r="V16" s="15" t="n">
        <v>93.61611237076137</v>
      </c>
      <c r="W16" s="15" t="n">
        <v>-60.36184210526316</v>
      </c>
    </row>
    <row r="17">
      <c r="A17" s="12" t="inlineStr">
        <is>
          <t>NORTH ZONE RO</t>
        </is>
      </c>
      <c r="B17" s="12" t="inlineStr">
        <is>
          <t>SOUTH ZONE RO</t>
        </is>
      </c>
      <c r="C17" s="12" t="inlineStr">
        <is>
          <t>NORTH ZONE RO → SOUTH ZONE RO</t>
        </is>
      </c>
      <c r="D17" s="12" t="inlineStr">
        <is>
          <t>April</t>
        </is>
      </c>
      <c r="E17" s="13" t="n">
        <v>78</v>
      </c>
      <c r="F17" s="14" t="n">
        <v>142212</v>
      </c>
      <c r="G17" s="14" t="n">
        <v>1115425.45</v>
      </c>
      <c r="H17" s="14" t="n">
        <v>1252821.38</v>
      </c>
      <c r="I17" s="14" t="n">
        <v>137395.93</v>
      </c>
      <c r="J17" s="16" t="n">
        <v>7.843398939611284</v>
      </c>
      <c r="K17" s="16" t="n">
        <v>8.80953351334627</v>
      </c>
      <c r="L17" s="16" t="n">
        <v>0.9661345737349871</v>
      </c>
      <c r="M17" s="16" t="n">
        <v>0.966134573734986</v>
      </c>
      <c r="N17" s="16" t="n">
        <v>8.019102564102564</v>
      </c>
      <c r="O17" s="16" t="n">
        <v>10.22666017497575</v>
      </c>
      <c r="P17" s="14" t="n">
        <v>1823.230769230769</v>
      </c>
      <c r="Q17" s="15" t="n">
        <v>0.4539026142846531</v>
      </c>
      <c r="R17" s="15" t="n">
        <v>0.3093118506461744</v>
      </c>
      <c r="S17" s="12" t="n"/>
      <c r="T17" s="12" t="n"/>
      <c r="U17" s="12" t="n"/>
      <c r="V17" s="12" t="n"/>
      <c r="W17" s="12" t="n"/>
    </row>
    <row r="18">
      <c r="A18" s="12" t="inlineStr">
        <is>
          <t>NORTH ZONE RO</t>
        </is>
      </c>
      <c r="B18" s="12" t="inlineStr">
        <is>
          <t>SOUTH ZONE RO</t>
        </is>
      </c>
      <c r="C18" s="12" t="inlineStr">
        <is>
          <t>NORTH ZONE RO → SOUTH ZONE RO</t>
        </is>
      </c>
      <c r="D18" s="12" t="inlineStr">
        <is>
          <t>May</t>
        </is>
      </c>
      <c r="E18" s="13" t="n">
        <v>81</v>
      </c>
      <c r="F18" s="14" t="n">
        <v>86607</v>
      </c>
      <c r="G18" s="14" t="n">
        <v>750911.4</v>
      </c>
      <c r="H18" s="14" t="n">
        <v>893091.27</v>
      </c>
      <c r="I18" s="14" t="n">
        <v>142179.87</v>
      </c>
      <c r="J18" s="16" t="n">
        <v>8.670331497454017</v>
      </c>
      <c r="K18" s="16" t="n">
        <v>10.31199868370917</v>
      </c>
      <c r="L18" s="16" t="n">
        <v>1.641667186255153</v>
      </c>
      <c r="M18" s="16" t="n">
        <v>1.641667186255152</v>
      </c>
      <c r="N18" s="16" t="n">
        <v>8.482757201646091</v>
      </c>
      <c r="O18" s="16" t="n">
        <v>11.4621813850071</v>
      </c>
      <c r="P18" s="14" t="n">
        <v>1069.222222222222</v>
      </c>
      <c r="Q18" s="15" t="n">
        <v>0.2764263473922802</v>
      </c>
      <c r="R18" s="15" t="n">
        <v>0.2204972855105987</v>
      </c>
      <c r="S18" s="16" t="n">
        <v>0.8269325578427322</v>
      </c>
      <c r="T18" s="15" t="n">
        <v>10.5430383461244</v>
      </c>
      <c r="U18" s="16" t="n">
        <v>1.502465170362898</v>
      </c>
      <c r="V18" s="15" t="n">
        <v>17.05499125562883</v>
      </c>
      <c r="W18" s="15" t="n">
        <v>-39.1000759429584</v>
      </c>
    </row>
    <row r="19">
      <c r="A19" s="12" t="inlineStr">
        <is>
          <t>NORTH ZONE RO</t>
        </is>
      </c>
      <c r="B19" s="12" t="inlineStr">
        <is>
          <t>SOUTH ZONE RO</t>
        </is>
      </c>
      <c r="C19" s="12" t="inlineStr">
        <is>
          <t>NORTH ZONE RO → SOUTH ZONE RO</t>
        </is>
      </c>
      <c r="D19" s="12" t="inlineStr">
        <is>
          <t>June</t>
        </is>
      </c>
      <c r="E19" s="13" t="n">
        <v>90</v>
      </c>
      <c r="F19" s="14" t="n">
        <v>137034</v>
      </c>
      <c r="G19" s="14" t="n">
        <v>1098780.55</v>
      </c>
      <c r="H19" s="14" t="n">
        <v>1344575.69</v>
      </c>
      <c r="I19" s="14" t="n">
        <v>245795.14</v>
      </c>
      <c r="J19" s="16" t="n">
        <v>8.018306040836581</v>
      </c>
      <c r="K19" s="16" t="n">
        <v>9.81198600347359</v>
      </c>
      <c r="L19" s="16" t="n">
        <v>1.79367996263701</v>
      </c>
      <c r="M19" s="16" t="n">
        <v>1.793679962637009</v>
      </c>
      <c r="N19" s="16" t="n">
        <v>8.384074074074075</v>
      </c>
      <c r="O19" s="16" t="n">
        <v>11.29449076401549</v>
      </c>
      <c r="P19" s="14" t="n">
        <v>1522.6</v>
      </c>
      <c r="Q19" s="15" t="n">
        <v>0.4373758251475484</v>
      </c>
      <c r="R19" s="15" t="n">
        <v>0.3319652758542139</v>
      </c>
      <c r="S19" s="16" t="n">
        <v>-0.6520254566174355</v>
      </c>
      <c r="T19" s="15" t="n">
        <v>-7.520190627185343</v>
      </c>
      <c r="U19" s="16" t="n">
        <v>-0.500012680235578</v>
      </c>
      <c r="V19" s="15" t="n">
        <v>-4.848843522696477</v>
      </c>
      <c r="W19" s="15" t="n">
        <v>58.22508573210018</v>
      </c>
    </row>
    <row r="20">
      <c r="A20" s="12" t="inlineStr">
        <is>
          <t>NORTH ZONE RO</t>
        </is>
      </c>
      <c r="B20" s="12" t="inlineStr">
        <is>
          <t>SOUTH ZONE RO</t>
        </is>
      </c>
      <c r="C20" s="12" t="inlineStr">
        <is>
          <t>NORTH ZONE RO → SOUTH ZONE RO</t>
        </is>
      </c>
      <c r="D20" s="12" t="inlineStr">
        <is>
          <t>July</t>
        </is>
      </c>
      <c r="E20" s="13" t="n">
        <v>86</v>
      </c>
      <c r="F20" s="14" t="n">
        <v>181097</v>
      </c>
      <c r="G20" s="14" t="n">
        <v>1309748.99</v>
      </c>
      <c r="H20" s="14" t="n">
        <v>1498510.37</v>
      </c>
      <c r="I20" s="14" t="n">
        <v>188761.38</v>
      </c>
      <c r="J20" s="16" t="n">
        <v>7.232306388289149</v>
      </c>
      <c r="K20" s="16" t="n">
        <v>8.274628348343706</v>
      </c>
      <c r="L20" s="16" t="n">
        <v>1.042321960054556</v>
      </c>
      <c r="M20" s="16" t="n">
        <v>1.042321960054557</v>
      </c>
      <c r="N20" s="16" t="n">
        <v>7.436452842377261</v>
      </c>
      <c r="O20" s="16" t="n">
        <v>9.158572692042501</v>
      </c>
      <c r="P20" s="14" t="n">
        <v>2105.779069767442</v>
      </c>
      <c r="Q20" s="15" t="n">
        <v>0.5780131194210603</v>
      </c>
      <c r="R20" s="15" t="n">
        <v>0.3699705505961142</v>
      </c>
      <c r="S20" s="16" t="n">
        <v>-0.7859996525474324</v>
      </c>
      <c r="T20" s="15" t="n">
        <v>-9.802564887700719</v>
      </c>
      <c r="U20" s="16" t="n">
        <v>-1.537357655129885</v>
      </c>
      <c r="V20" s="15" t="n">
        <v>-15.6681598871588</v>
      </c>
      <c r="W20" s="15" t="n">
        <v>32.15479370083337</v>
      </c>
    </row>
    <row r="21">
      <c r="A21" s="12" t="inlineStr">
        <is>
          <t>NORTH ZONE RO</t>
        </is>
      </c>
      <c r="B21" s="12" t="inlineStr">
        <is>
          <t>NORTH EAST ZONE RO</t>
        </is>
      </c>
      <c r="C21" s="12" t="inlineStr">
        <is>
          <t>NORTH ZONE RO → NORTH EAST ZONE RO</t>
        </is>
      </c>
      <c r="D21" s="12" t="inlineStr">
        <is>
          <t>April</t>
        </is>
      </c>
      <c r="E21" s="13" t="n">
        <v>2424</v>
      </c>
      <c r="F21" s="14" t="n">
        <v>1360426</v>
      </c>
      <c r="G21" s="14" t="n">
        <v>15757437.45</v>
      </c>
      <c r="H21" s="14" t="n">
        <v>18206032</v>
      </c>
      <c r="I21" s="14" t="n">
        <v>2448594.55</v>
      </c>
      <c r="J21" s="16" t="n">
        <v>11.582722948547</v>
      </c>
      <c r="K21" s="16" t="n">
        <v>13.38259633379544</v>
      </c>
      <c r="L21" s="16" t="n">
        <v>1.799873385248444</v>
      </c>
      <c r="M21" s="16" t="n">
        <v>1.799873385248445</v>
      </c>
      <c r="N21" s="16" t="n">
        <v>13.38594494205343</v>
      </c>
      <c r="O21" s="16" t="n">
        <v>17.27231766905853</v>
      </c>
      <c r="P21" s="14" t="n">
        <v>561.2318481848184</v>
      </c>
      <c r="Q21" s="15" t="n">
        <v>4.342115418817072</v>
      </c>
      <c r="R21" s="15" t="n">
        <v>4.494927641515403</v>
      </c>
      <c r="S21" s="12" t="n"/>
      <c r="T21" s="12" t="n"/>
      <c r="U21" s="12" t="n"/>
      <c r="V21" s="12" t="n"/>
      <c r="W21" s="12" t="n"/>
    </row>
    <row r="22">
      <c r="A22" s="12" t="inlineStr">
        <is>
          <t>NORTH ZONE RO</t>
        </is>
      </c>
      <c r="B22" s="12" t="inlineStr">
        <is>
          <t>NORTH EAST ZONE RO</t>
        </is>
      </c>
      <c r="C22" s="12" t="inlineStr">
        <is>
          <t>NORTH ZONE RO → NORTH EAST ZONE RO</t>
        </is>
      </c>
      <c r="D22" s="12" t="inlineStr">
        <is>
          <t>May</t>
        </is>
      </c>
      <c r="E22" s="13" t="n">
        <v>2587</v>
      </c>
      <c r="F22" s="14" t="n">
        <v>1514765</v>
      </c>
      <c r="G22" s="14" t="n">
        <v>17470422.59</v>
      </c>
      <c r="H22" s="14" t="n">
        <v>20316614.48</v>
      </c>
      <c r="I22" s="14" t="n">
        <v>2846191.89</v>
      </c>
      <c r="J22" s="16" t="n">
        <v>11.53342108511881</v>
      </c>
      <c r="K22" s="16" t="n">
        <v>13.41238705673817</v>
      </c>
      <c r="L22" s="16" t="n">
        <v>1.87896597161936</v>
      </c>
      <c r="M22" s="16" t="n">
        <v>1.87896597161936</v>
      </c>
      <c r="N22" s="16" t="n">
        <v>13.11052700443587</v>
      </c>
      <c r="O22" s="16" t="n">
        <v>17.30144163167475</v>
      </c>
      <c r="P22" s="14" t="n">
        <v>585.529570931581</v>
      </c>
      <c r="Q22" s="15" t="n">
        <v>4.834724169035613</v>
      </c>
      <c r="R22" s="15" t="n">
        <v>5.016014033599639</v>
      </c>
      <c r="S22" s="16" t="n">
        <v>-0.04930186342818565</v>
      </c>
      <c r="T22" s="15" t="n">
        <v>-0.4256500276074578</v>
      </c>
      <c r="U22" s="16" t="n">
        <v>0.02979072294272989</v>
      </c>
      <c r="V22" s="15" t="n">
        <v>0.2226079469160894</v>
      </c>
      <c r="W22" s="15" t="n">
        <v>11.34490225855725</v>
      </c>
    </row>
    <row r="23">
      <c r="A23" s="12" t="inlineStr">
        <is>
          <t>NORTH ZONE RO</t>
        </is>
      </c>
      <c r="B23" s="12" t="inlineStr">
        <is>
          <t>NORTH EAST ZONE RO</t>
        </is>
      </c>
      <c r="C23" s="12" t="inlineStr">
        <is>
          <t>NORTH ZONE RO → NORTH EAST ZONE RO</t>
        </is>
      </c>
      <c r="D23" s="12" t="inlineStr">
        <is>
          <t>June</t>
        </is>
      </c>
      <c r="E23" s="13" t="n">
        <v>2538</v>
      </c>
      <c r="F23" s="14" t="n">
        <v>1536519.3</v>
      </c>
      <c r="G23" s="14" t="n">
        <v>17568230.21</v>
      </c>
      <c r="H23" s="14" t="n">
        <v>21219995.13</v>
      </c>
      <c r="I23" s="14" t="n">
        <v>3651764.92</v>
      </c>
      <c r="J23" s="16" t="n">
        <v>11.43378427462642</v>
      </c>
      <c r="K23" s="16" t="n">
        <v>13.81043188328321</v>
      </c>
      <c r="L23" s="16" t="n">
        <v>2.376647608656786</v>
      </c>
      <c r="M23" s="16" t="n">
        <v>2.376647608656786</v>
      </c>
      <c r="N23" s="16" t="n">
        <v>13.31285390759027</v>
      </c>
      <c r="O23" s="16" t="n">
        <v>17.91757941563605</v>
      </c>
      <c r="P23" s="14" t="n">
        <v>605.4055555555556</v>
      </c>
      <c r="Q23" s="15" t="n">
        <v>4.90415806801694</v>
      </c>
      <c r="R23" s="15" t="n">
        <v>5.239051686971617</v>
      </c>
      <c r="S23" s="16" t="n">
        <v>-0.09963681049238993</v>
      </c>
      <c r="T23" s="15" t="n">
        <v>-0.8638964081606971</v>
      </c>
      <c r="U23" s="16" t="n">
        <v>0.3980448265450356</v>
      </c>
      <c r="V23" s="15" t="n">
        <v>2.967740379555063</v>
      </c>
      <c r="W23" s="15" t="n">
        <v>1.436150161906305</v>
      </c>
    </row>
    <row r="24">
      <c r="A24" s="12" t="inlineStr">
        <is>
          <t>NORTH ZONE RO</t>
        </is>
      </c>
      <c r="B24" s="12" t="inlineStr">
        <is>
          <t>NORTH EAST ZONE RO</t>
        </is>
      </c>
      <c r="C24" s="12" t="inlineStr">
        <is>
          <t>NORTH ZONE RO → NORTH EAST ZONE RO</t>
        </is>
      </c>
      <c r="D24" s="12" t="inlineStr">
        <is>
          <t>July</t>
        </is>
      </c>
      <c r="E24" s="13" t="n">
        <v>2589</v>
      </c>
      <c r="F24" s="14" t="n">
        <v>1418241</v>
      </c>
      <c r="G24" s="14" t="n">
        <v>16714259.79</v>
      </c>
      <c r="H24" s="14" t="n">
        <v>20371478.46</v>
      </c>
      <c r="I24" s="14" t="n">
        <v>3657218.67</v>
      </c>
      <c r="J24" s="16" t="n">
        <v>11.78520420013242</v>
      </c>
      <c r="K24" s="16" t="n">
        <v>14.36390462551851</v>
      </c>
      <c r="L24" s="16" t="n">
        <v>2.578700425386094</v>
      </c>
      <c r="M24" s="16" t="n">
        <v>2.578700425386096</v>
      </c>
      <c r="N24" s="16" t="n">
        <v>13.47826626325013</v>
      </c>
      <c r="O24" s="16" t="n">
        <v>18.30989760155008</v>
      </c>
      <c r="P24" s="14" t="n">
        <v>547.7949015063731</v>
      </c>
      <c r="Q24" s="15" t="n">
        <v>4.526645413788433</v>
      </c>
      <c r="R24" s="15" t="n">
        <v>5.029559523370587</v>
      </c>
      <c r="S24" s="16" t="n">
        <v>0.3514199255059935</v>
      </c>
      <c r="T24" s="15" t="n">
        <v>3.073522440736057</v>
      </c>
      <c r="U24" s="16" t="n">
        <v>0.5534727422353036</v>
      </c>
      <c r="V24" s="15" t="n">
        <v>4.007642533650616</v>
      </c>
      <c r="W24" s="15" t="n">
        <v>-7.697807635738779</v>
      </c>
    </row>
    <row r="25">
      <c r="A25" s="12" t="inlineStr">
        <is>
          <t>NORTH ZONE RO</t>
        </is>
      </c>
      <c r="B25" s="12" t="inlineStr">
        <is>
          <t>NEPAL ZONE</t>
        </is>
      </c>
      <c r="C25" s="12" t="inlineStr">
        <is>
          <t>NORTH ZONE RO → NEPAL ZONE</t>
        </is>
      </c>
      <c r="D25" s="12" t="inlineStr">
        <is>
          <t>April</t>
        </is>
      </c>
      <c r="E25" s="13" t="n">
        <v>1945</v>
      </c>
      <c r="F25" s="14" t="n">
        <v>2001675.96</v>
      </c>
      <c r="G25" s="14" t="n">
        <v>17018937.59</v>
      </c>
      <c r="H25" s="14" t="n">
        <v>21330264.45</v>
      </c>
      <c r="I25" s="14" t="n">
        <v>4311326.86</v>
      </c>
      <c r="J25" s="16" t="n">
        <v>8.502344000774231</v>
      </c>
      <c r="K25" s="16" t="n">
        <v>10.6562025403952</v>
      </c>
      <c r="L25" s="16" t="n">
        <v>2.153858539620969</v>
      </c>
      <c r="M25" s="16" t="n">
        <v>2.153858539620968</v>
      </c>
      <c r="N25" s="16" t="n">
        <v>9.004024243978503</v>
      </c>
      <c r="O25" s="16" t="n">
        <v>15.34383998688362</v>
      </c>
      <c r="P25" s="14" t="n">
        <v>1029.139311053985</v>
      </c>
      <c r="Q25" s="15" t="n">
        <v>6.388813540311244</v>
      </c>
      <c r="R25" s="15" t="n">
        <v>5.266276324085246</v>
      </c>
      <c r="S25" s="12" t="n"/>
      <c r="T25" s="12" t="n"/>
      <c r="U25" s="12" t="n"/>
      <c r="V25" s="12" t="n"/>
      <c r="W25" s="12" t="n"/>
    </row>
    <row r="26">
      <c r="A26" s="12" t="inlineStr">
        <is>
          <t>NORTH ZONE RO</t>
        </is>
      </c>
      <c r="B26" s="12" t="inlineStr">
        <is>
          <t>NEPAL ZONE</t>
        </is>
      </c>
      <c r="C26" s="12" t="inlineStr">
        <is>
          <t>NORTH ZONE RO → NEPAL ZONE</t>
        </is>
      </c>
      <c r="D26" s="12" t="inlineStr">
        <is>
          <t>May</t>
        </is>
      </c>
      <c r="E26" s="13" t="n">
        <v>1839</v>
      </c>
      <c r="F26" s="14" t="n">
        <v>1860956.03</v>
      </c>
      <c r="G26" s="14" t="n">
        <v>15855192.66</v>
      </c>
      <c r="H26" s="14" t="n">
        <v>20193414.13</v>
      </c>
      <c r="I26" s="14" t="n">
        <v>4338221.47</v>
      </c>
      <c r="J26" s="16" t="n">
        <v>8.51991793701864</v>
      </c>
      <c r="K26" s="16" t="n">
        <v>10.85109685799508</v>
      </c>
      <c r="L26" s="16" t="n">
        <v>2.33117892097644</v>
      </c>
      <c r="M26" s="16" t="n">
        <v>2.331178920976441</v>
      </c>
      <c r="N26" s="16" t="n">
        <v>9.051016858435526</v>
      </c>
      <c r="O26" s="16" t="n">
        <v>15.75060695254792</v>
      </c>
      <c r="P26" s="14" t="n">
        <v>1011.939113648722</v>
      </c>
      <c r="Q26" s="15" t="n">
        <v>5.9396732138342</v>
      </c>
      <c r="R26" s="15" t="n">
        <v>4.98559682579404</v>
      </c>
      <c r="S26" s="16" t="n">
        <v>0.01757393624440873</v>
      </c>
      <c r="T26" s="15" t="n">
        <v>0.2066951918530752</v>
      </c>
      <c r="U26" s="16" t="n">
        <v>0.1948943175998821</v>
      </c>
      <c r="V26" s="15" t="n">
        <v>1.828928427937464</v>
      </c>
      <c r="W26" s="15" t="n">
        <v>-7.030105412266625</v>
      </c>
    </row>
    <row r="27">
      <c r="A27" s="12" t="inlineStr">
        <is>
          <t>NORTH ZONE RO</t>
        </is>
      </c>
      <c r="B27" s="12" t="inlineStr">
        <is>
          <t>NEPAL ZONE</t>
        </is>
      </c>
      <c r="C27" s="12" t="inlineStr">
        <is>
          <t>NORTH ZONE RO → NEPAL ZONE</t>
        </is>
      </c>
      <c r="D27" s="12" t="inlineStr">
        <is>
          <t>June</t>
        </is>
      </c>
      <c r="E27" s="13" t="n">
        <v>2032</v>
      </c>
      <c r="F27" s="14" t="n">
        <v>1993085.61</v>
      </c>
      <c r="G27" s="14" t="n">
        <v>16939841.14</v>
      </c>
      <c r="H27" s="14" t="n">
        <v>22300157.92</v>
      </c>
      <c r="I27" s="14" t="n">
        <v>5360316.78</v>
      </c>
      <c r="J27" s="16" t="n">
        <v>8.499304322406903</v>
      </c>
      <c r="K27" s="16" t="n">
        <v>11.18876068750504</v>
      </c>
      <c r="L27" s="16" t="n">
        <v>2.689456365098136</v>
      </c>
      <c r="M27" s="16" t="n">
        <v>2.689456365098136</v>
      </c>
      <c r="N27" s="16" t="n">
        <v>8.973066896547937</v>
      </c>
      <c r="O27" s="16" t="n">
        <v>15.89076513703822</v>
      </c>
      <c r="P27" s="14" t="n">
        <v>980.8492175196851</v>
      </c>
      <c r="Q27" s="15" t="n">
        <v>6.361395443929644</v>
      </c>
      <c r="R27" s="15" t="n">
        <v>5.505735475185732</v>
      </c>
      <c r="S27" s="16" t="n">
        <v>-0.02061361461173661</v>
      </c>
      <c r="T27" s="15" t="n">
        <v>-0.241946163849436</v>
      </c>
      <c r="U27" s="16" t="n">
        <v>0.3376638295099585</v>
      </c>
      <c r="V27" s="15" t="n">
        <v>3.111794447408034</v>
      </c>
      <c r="W27" s="15" t="n">
        <v>7.100091451381582</v>
      </c>
    </row>
    <row r="28">
      <c r="A28" s="12" t="inlineStr">
        <is>
          <t>NORTH ZONE RO</t>
        </is>
      </c>
      <c r="B28" s="12" t="inlineStr">
        <is>
          <t>NEPAL ZONE</t>
        </is>
      </c>
      <c r="C28" s="12" t="inlineStr">
        <is>
          <t>NORTH ZONE RO → NEPAL ZONE</t>
        </is>
      </c>
      <c r="D28" s="12" t="inlineStr">
        <is>
          <t>July</t>
        </is>
      </c>
      <c r="E28" s="13" t="n">
        <v>1800</v>
      </c>
      <c r="F28" s="14" t="n">
        <v>2005163.85</v>
      </c>
      <c r="G28" s="14" t="n">
        <v>16546918.86</v>
      </c>
      <c r="H28" s="14" t="n">
        <v>21460898.86</v>
      </c>
      <c r="I28" s="14" t="n">
        <v>4913980</v>
      </c>
      <c r="J28" s="16" t="n">
        <v>8.252152989891574</v>
      </c>
      <c r="K28" s="16" t="n">
        <v>10.70281556292769</v>
      </c>
      <c r="L28" s="16" t="n">
        <v>2.450662573036114</v>
      </c>
      <c r="M28" s="16" t="n">
        <v>2.450662573036114</v>
      </c>
      <c r="N28" s="16" t="n">
        <v>9.00119677210454</v>
      </c>
      <c r="O28" s="16" t="n">
        <v>16.1132721810588</v>
      </c>
      <c r="P28" s="14" t="n">
        <v>1113.979916666667</v>
      </c>
      <c r="Q28" s="15" t="n">
        <v>6.399945951003291</v>
      </c>
      <c r="R28" s="15" t="n">
        <v>5.298528943461179</v>
      </c>
      <c r="S28" s="16" t="n">
        <v>-0.2471513325153296</v>
      </c>
      <c r="T28" s="15" t="n">
        <v>-2.907900730931108</v>
      </c>
      <c r="U28" s="16" t="n">
        <v>-0.4859451245773521</v>
      </c>
      <c r="V28" s="15" t="n">
        <v>-4.343154153971918</v>
      </c>
      <c r="W28" s="15" t="n">
        <v>0.6060070846630612</v>
      </c>
    </row>
    <row r="29">
      <c r="A29" s="12" t="inlineStr">
        <is>
          <t>EAST ZONE RO</t>
        </is>
      </c>
      <c r="B29" s="12" t="inlineStr">
        <is>
          <t>NORTH ZONE RO</t>
        </is>
      </c>
      <c r="C29" s="12" t="inlineStr">
        <is>
          <t>EAST ZONE RO → NORTH ZONE RO</t>
        </is>
      </c>
      <c r="D29" s="12" t="inlineStr">
        <is>
          <t>April</t>
        </is>
      </c>
      <c r="E29" s="13" t="n">
        <v>162</v>
      </c>
      <c r="F29" s="14" t="n">
        <v>45432</v>
      </c>
      <c r="G29" s="14" t="n">
        <v>263642.55</v>
      </c>
      <c r="H29" s="14" t="n">
        <v>301045.15</v>
      </c>
      <c r="I29" s="14" t="n">
        <v>37402.6</v>
      </c>
      <c r="J29" s="16" t="n">
        <v>5.803014395139989</v>
      </c>
      <c r="K29" s="16" t="n">
        <v>6.626279934847685</v>
      </c>
      <c r="L29" s="16" t="n">
        <v>0.823265539707695</v>
      </c>
      <c r="M29" s="16" t="n">
        <v>0.8232655397076956</v>
      </c>
      <c r="N29" s="16" t="n">
        <v>6.580185185185186</v>
      </c>
      <c r="O29" s="16" t="n">
        <v>7.46478986949596</v>
      </c>
      <c r="P29" s="14" t="n">
        <v>280.4444444444445</v>
      </c>
      <c r="Q29" s="15" t="n">
        <v>0.1450067756038897</v>
      </c>
      <c r="R29" s="15" t="n">
        <v>0.074325705133285</v>
      </c>
      <c r="S29" s="12" t="n"/>
      <c r="T29" s="12" t="n"/>
      <c r="U29" s="12" t="n"/>
      <c r="V29" s="12" t="n"/>
      <c r="W29" s="12" t="n"/>
    </row>
    <row r="30">
      <c r="A30" s="12" t="inlineStr">
        <is>
          <t>EAST ZONE RO</t>
        </is>
      </c>
      <c r="B30" s="12" t="inlineStr">
        <is>
          <t>NORTH ZONE RO</t>
        </is>
      </c>
      <c r="C30" s="12" t="inlineStr">
        <is>
          <t>EAST ZONE RO → NORTH ZONE RO</t>
        </is>
      </c>
      <c r="D30" s="12" t="inlineStr">
        <is>
          <t>May</t>
        </is>
      </c>
      <c r="E30" s="13" t="n">
        <v>40</v>
      </c>
      <c r="F30" s="14" t="n">
        <v>10922</v>
      </c>
      <c r="G30" s="14" t="n">
        <v>66750.8</v>
      </c>
      <c r="H30" s="14" t="n">
        <v>81347.3</v>
      </c>
      <c r="I30" s="14" t="n">
        <v>14596.5</v>
      </c>
      <c r="J30" s="16" t="n">
        <v>6.111591283647684</v>
      </c>
      <c r="K30" s="16" t="n">
        <v>7.448022340230727</v>
      </c>
      <c r="L30" s="16" t="n">
        <v>1.336431056583044</v>
      </c>
      <c r="M30" s="16" t="n">
        <v>1.336431056583043</v>
      </c>
      <c r="N30" s="16" t="n">
        <v>6.95125</v>
      </c>
      <c r="O30" s="16" t="n">
        <v>8.185478609908611</v>
      </c>
      <c r="P30" s="14" t="n">
        <v>273.05</v>
      </c>
      <c r="Q30" s="15" t="n">
        <v>0.03486009867814939</v>
      </c>
      <c r="R30" s="15" t="n">
        <v>0.02008401541492655</v>
      </c>
      <c r="S30" s="16" t="n">
        <v>0.3085768885076945</v>
      </c>
      <c r="T30" s="15" t="n">
        <v>5.317527538207158</v>
      </c>
      <c r="U30" s="16" t="n">
        <v>0.8217424053830422</v>
      </c>
      <c r="V30" s="15" t="n">
        <v>12.4012630535195</v>
      </c>
      <c r="W30" s="15" t="n">
        <v>-75.95967599929565</v>
      </c>
    </row>
    <row r="31">
      <c r="A31" s="12" t="inlineStr">
        <is>
          <t>EAST ZONE RO</t>
        </is>
      </c>
      <c r="B31" s="12" t="inlineStr">
        <is>
          <t>NORTH ZONE RO</t>
        </is>
      </c>
      <c r="C31" s="12" t="inlineStr">
        <is>
          <t>EAST ZONE RO → NORTH ZONE RO</t>
        </is>
      </c>
      <c r="D31" s="12" t="inlineStr">
        <is>
          <t>June</t>
        </is>
      </c>
      <c r="E31" s="13" t="n">
        <v>104</v>
      </c>
      <c r="F31" s="14" t="n">
        <v>42618</v>
      </c>
      <c r="G31" s="14" t="n">
        <v>254695.5</v>
      </c>
      <c r="H31" s="14" t="n">
        <v>299715.45</v>
      </c>
      <c r="I31" s="14" t="n">
        <v>45019.95</v>
      </c>
      <c r="J31" s="16" t="n">
        <v>5.976242432774884</v>
      </c>
      <c r="K31" s="16" t="n">
        <v>7.032602421512038</v>
      </c>
      <c r="L31" s="16" t="n">
        <v>1.056359988737153</v>
      </c>
      <c r="M31" s="16" t="n">
        <v>1.056359988737154</v>
      </c>
      <c r="N31" s="16" t="n">
        <v>7.079326923076923</v>
      </c>
      <c r="O31" s="16" t="n">
        <v>8.160141418058497</v>
      </c>
      <c r="P31" s="14" t="n">
        <v>409.7884615384615</v>
      </c>
      <c r="Q31" s="15" t="n">
        <v>0.1360252412987887</v>
      </c>
      <c r="R31" s="15" t="n">
        <v>0.07399741254954555</v>
      </c>
      <c r="S31" s="16" t="n">
        <v>-0.1353488508728002</v>
      </c>
      <c r="T31" s="15" t="n">
        <v>-2.214625366636391</v>
      </c>
      <c r="U31" s="16" t="n">
        <v>-0.4154199187186896</v>
      </c>
      <c r="V31" s="15" t="n">
        <v>-5.577586904845678</v>
      </c>
      <c r="W31" s="15" t="n">
        <v>290.2032594762864</v>
      </c>
    </row>
    <row r="32">
      <c r="A32" s="12" t="inlineStr">
        <is>
          <t>EAST ZONE RO</t>
        </is>
      </c>
      <c r="B32" s="12" t="inlineStr">
        <is>
          <t>NORTH ZONE RO</t>
        </is>
      </c>
      <c r="C32" s="12" t="inlineStr">
        <is>
          <t>EAST ZONE RO → NORTH ZONE RO</t>
        </is>
      </c>
      <c r="D32" s="12" t="inlineStr">
        <is>
          <t>July</t>
        </is>
      </c>
      <c r="E32" s="13" t="n">
        <v>82</v>
      </c>
      <c r="F32" s="14" t="n">
        <v>23120.29</v>
      </c>
      <c r="G32" s="14" t="n">
        <v>148534.1</v>
      </c>
      <c r="H32" s="14" t="n">
        <v>180125.59</v>
      </c>
      <c r="I32" s="14" t="n">
        <v>31591.49</v>
      </c>
      <c r="J32" s="16" t="n">
        <v>6.424404711186581</v>
      </c>
      <c r="K32" s="16" t="n">
        <v>7.790801499462161</v>
      </c>
      <c r="L32" s="16" t="n">
        <v>1.366396788275579</v>
      </c>
      <c r="M32" s="16" t="n">
        <v>1.36639678827558</v>
      </c>
      <c r="N32" s="16" t="n">
        <v>6.948170874190341</v>
      </c>
      <c r="O32" s="16" t="n">
        <v>8.053786698484361</v>
      </c>
      <c r="P32" s="14" t="n">
        <v>281.954756097561</v>
      </c>
      <c r="Q32" s="15" t="n">
        <v>0.07379377319789696</v>
      </c>
      <c r="R32" s="15" t="n">
        <v>0.04447160663209153</v>
      </c>
      <c r="S32" s="16" t="n">
        <v>0.4481622784116972</v>
      </c>
      <c r="T32" s="15" t="n">
        <v>7.499064561937574</v>
      </c>
      <c r="U32" s="16" t="n">
        <v>0.7581990779501231</v>
      </c>
      <c r="V32" s="15" t="n">
        <v>10.78120207152429</v>
      </c>
      <c r="W32" s="15" t="n">
        <v>-45.74994133934018</v>
      </c>
    </row>
    <row r="33">
      <c r="A33" s="12" t="inlineStr">
        <is>
          <t>EAST ZONE RO</t>
        </is>
      </c>
      <c r="B33" s="12" t="inlineStr">
        <is>
          <t>EAST ZONE RO</t>
        </is>
      </c>
      <c r="C33" s="12" t="inlineStr">
        <is>
          <t>EAST ZONE RO → EAST ZONE RO</t>
        </is>
      </c>
      <c r="D33" s="12" t="inlineStr">
        <is>
          <t>April</t>
        </is>
      </c>
      <c r="E33" s="13" t="n">
        <v>63</v>
      </c>
      <c r="F33" s="14" t="n">
        <v>67570.93000000001</v>
      </c>
      <c r="G33" s="14" t="n">
        <v>304613.12</v>
      </c>
      <c r="H33" s="14" t="n">
        <v>490375.83</v>
      </c>
      <c r="I33" s="14" t="n">
        <v>185762.71</v>
      </c>
      <c r="J33" s="16" t="n">
        <v>4.50804983740789</v>
      </c>
      <c r="K33" s="16" t="n">
        <v>7.257201136642635</v>
      </c>
      <c r="L33" s="16" t="n">
        <v>2.749151299234744</v>
      </c>
      <c r="M33" s="16" t="n">
        <v>2.749151299234745</v>
      </c>
      <c r="N33" s="16" t="n">
        <v>6.559948049333114</v>
      </c>
      <c r="O33" s="16" t="n">
        <v>15.23773488598368</v>
      </c>
      <c r="P33" s="14" t="n">
        <v>1072.554444444444</v>
      </c>
      <c r="Q33" s="15" t="n">
        <v>0.2156683105268564</v>
      </c>
      <c r="R33" s="15" t="n">
        <v>0.1210699768625068</v>
      </c>
      <c r="S33" s="12" t="n"/>
      <c r="T33" s="12" t="n"/>
      <c r="U33" s="12" t="n"/>
      <c r="V33" s="12" t="n"/>
      <c r="W33" s="12" t="n"/>
    </row>
    <row r="34">
      <c r="A34" s="12" t="inlineStr">
        <is>
          <t>EAST ZONE RO</t>
        </is>
      </c>
      <c r="B34" s="12" t="inlineStr">
        <is>
          <t>EAST ZONE RO</t>
        </is>
      </c>
      <c r="C34" s="12" t="inlineStr">
        <is>
          <t>EAST ZONE RO → EAST ZONE RO</t>
        </is>
      </c>
      <c r="D34" s="12" t="inlineStr">
        <is>
          <t>May</t>
        </is>
      </c>
      <c r="E34" s="13" t="n">
        <v>76</v>
      </c>
      <c r="F34" s="14" t="n">
        <v>47451.29</v>
      </c>
      <c r="G34" s="14" t="n">
        <v>309514.68</v>
      </c>
      <c r="H34" s="14" t="n">
        <v>554202.51</v>
      </c>
      <c r="I34" s="14" t="n">
        <v>244687.83</v>
      </c>
      <c r="J34" s="16" t="n">
        <v>6.522787473217272</v>
      </c>
      <c r="K34" s="16" t="n">
        <v>11.6793981786375</v>
      </c>
      <c r="L34" s="16" t="n">
        <v>5.156610705420231</v>
      </c>
      <c r="M34" s="16" t="n">
        <v>5.156610705420232</v>
      </c>
      <c r="N34" s="16" t="n">
        <v>7.634127854349003</v>
      </c>
      <c r="O34" s="16" t="n">
        <v>19.45004559529956</v>
      </c>
      <c r="P34" s="14" t="n">
        <v>624.3590789473684</v>
      </c>
      <c r="Q34" s="15" t="n">
        <v>0.1514518084421794</v>
      </c>
      <c r="R34" s="15" t="n">
        <v>0.1368282875255968</v>
      </c>
      <c r="S34" s="16" t="n">
        <v>2.014737635809381</v>
      </c>
      <c r="T34" s="15" t="n">
        <v>44.69200005490283</v>
      </c>
      <c r="U34" s="16" t="n">
        <v>4.422197041994869</v>
      </c>
      <c r="V34" s="15" t="n">
        <v>60.93529666232578</v>
      </c>
      <c r="W34" s="15" t="n">
        <v>-29.77558544776578</v>
      </c>
    </row>
    <row r="35">
      <c r="A35" s="12" t="inlineStr">
        <is>
          <t>EAST ZONE RO</t>
        </is>
      </c>
      <c r="B35" s="12" t="inlineStr">
        <is>
          <t>EAST ZONE RO</t>
        </is>
      </c>
      <c r="C35" s="12" t="inlineStr">
        <is>
          <t>EAST ZONE RO → EAST ZONE RO</t>
        </is>
      </c>
      <c r="D35" s="12" t="inlineStr">
        <is>
          <t>June</t>
        </is>
      </c>
      <c r="E35" s="13" t="n">
        <v>93</v>
      </c>
      <c r="F35" s="14" t="n">
        <v>38175.144</v>
      </c>
      <c r="G35" s="14" t="n">
        <v>249801.58</v>
      </c>
      <c r="H35" s="14" t="n">
        <v>415330.44</v>
      </c>
      <c r="I35" s="14" t="n">
        <v>165528.86</v>
      </c>
      <c r="J35" s="16" t="n">
        <v>6.543566148696125</v>
      </c>
      <c r="K35" s="16" t="n">
        <v>10.87960375473633</v>
      </c>
      <c r="L35" s="16" t="n">
        <v>4.336037606040202</v>
      </c>
      <c r="M35" s="16" t="n">
        <v>4.336037606040203</v>
      </c>
      <c r="N35" s="16" t="n">
        <v>7.267529389308809</v>
      </c>
      <c r="O35" s="16" t="n">
        <v>15.13778919203636</v>
      </c>
      <c r="P35" s="14" t="n">
        <v>410.4854193548387</v>
      </c>
      <c r="Q35" s="15" t="n">
        <v>0.1218448349105075</v>
      </c>
      <c r="R35" s="15" t="n">
        <v>0.102541853992059</v>
      </c>
      <c r="S35" s="16" t="n">
        <v>0.02077867547885326</v>
      </c>
      <c r="T35" s="15" t="n">
        <v>0.3185551509101135</v>
      </c>
      <c r="U35" s="16" t="n">
        <v>-0.7997944239011758</v>
      </c>
      <c r="V35" s="15" t="n">
        <v>-6.847907843094688</v>
      </c>
      <c r="W35" s="15" t="n">
        <v>-19.54877517555371</v>
      </c>
    </row>
    <row r="36">
      <c r="A36" s="12" t="inlineStr">
        <is>
          <t>EAST ZONE RO</t>
        </is>
      </c>
      <c r="B36" s="12" t="inlineStr">
        <is>
          <t>EAST ZONE RO</t>
        </is>
      </c>
      <c r="C36" s="12" t="inlineStr">
        <is>
          <t>EAST ZONE RO → EAST ZONE RO</t>
        </is>
      </c>
      <c r="D36" s="12" t="inlineStr">
        <is>
          <t>July</t>
        </is>
      </c>
      <c r="E36" s="13" t="n">
        <v>85</v>
      </c>
      <c r="F36" s="14" t="n">
        <v>39011.93</v>
      </c>
      <c r="G36" s="14" t="n">
        <v>278196.97</v>
      </c>
      <c r="H36" s="14" t="n">
        <v>496280.56</v>
      </c>
      <c r="I36" s="14" t="n">
        <v>218083.59</v>
      </c>
      <c r="J36" s="16" t="n">
        <v>7.131074263693183</v>
      </c>
      <c r="K36" s="16" t="n">
        <v>12.72125116598948</v>
      </c>
      <c r="L36" s="16" t="n">
        <v>5.590176902296298</v>
      </c>
      <c r="M36" s="16" t="n">
        <v>5.590176902296298</v>
      </c>
      <c r="N36" s="16" t="n">
        <v>8.382721492052273</v>
      </c>
      <c r="O36" s="16" t="n">
        <v>22.84558649121823</v>
      </c>
      <c r="P36" s="14" t="n">
        <v>458.9638823529412</v>
      </c>
      <c r="Q36" s="15" t="n">
        <v>0.1245156316997854</v>
      </c>
      <c r="R36" s="15" t="n">
        <v>0.1225278087554028</v>
      </c>
      <c r="S36" s="16" t="n">
        <v>0.5875081149970578</v>
      </c>
      <c r="T36" s="15" t="n">
        <v>8.978408739921196</v>
      </c>
      <c r="U36" s="16" t="n">
        <v>1.841647411253152</v>
      </c>
      <c r="V36" s="15" t="n">
        <v>16.92752284706517</v>
      </c>
      <c r="W36" s="15" t="n">
        <v>2.191965536528166</v>
      </c>
    </row>
    <row r="37">
      <c r="A37" s="12" t="inlineStr">
        <is>
          <t>EAST ZONE RO</t>
        </is>
      </c>
      <c r="B37" s="12" t="inlineStr">
        <is>
          <t>NORTH EAST ZONE RO</t>
        </is>
      </c>
      <c r="C37" s="12" t="inlineStr">
        <is>
          <t>EAST ZONE RO → NORTH EAST ZONE RO</t>
        </is>
      </c>
      <c r="D37" s="12" t="inlineStr">
        <is>
          <t>April</t>
        </is>
      </c>
      <c r="E37" s="13" t="n">
        <v>568</v>
      </c>
      <c r="F37" s="14" t="n">
        <v>215773.04</v>
      </c>
      <c r="G37" s="14" t="n">
        <v>1686008.96</v>
      </c>
      <c r="H37" s="14" t="n">
        <v>2016581.56</v>
      </c>
      <c r="I37" s="14" t="n">
        <v>330572.6</v>
      </c>
      <c r="J37" s="16" t="n">
        <v>7.813807322731328</v>
      </c>
      <c r="K37" s="16" t="n">
        <v>9.345845801681248</v>
      </c>
      <c r="L37" s="16" t="n">
        <v>1.532038478949919</v>
      </c>
      <c r="M37" s="16" t="n">
        <v>1.53203847894992</v>
      </c>
      <c r="N37" s="16" t="n">
        <v>7.597153005885962</v>
      </c>
      <c r="O37" s="16" t="n">
        <v>9.604260917052301</v>
      </c>
      <c r="P37" s="14" t="n">
        <v>379.8821126760564</v>
      </c>
      <c r="Q37" s="15" t="n">
        <v>0.6886897515550517</v>
      </c>
      <c r="R37" s="15" t="n">
        <v>0.4978782963478398</v>
      </c>
      <c r="S37" s="12" t="n"/>
      <c r="T37" s="12" t="n"/>
      <c r="U37" s="12" t="n"/>
      <c r="V37" s="12" t="n"/>
      <c r="W37" s="12" t="n"/>
    </row>
    <row r="38">
      <c r="A38" s="12" t="inlineStr">
        <is>
          <t>EAST ZONE RO</t>
        </is>
      </c>
      <c r="B38" s="12" t="inlineStr">
        <is>
          <t>NORTH EAST ZONE RO</t>
        </is>
      </c>
      <c r="C38" s="12" t="inlineStr">
        <is>
          <t>EAST ZONE RO → NORTH EAST ZONE RO</t>
        </is>
      </c>
      <c r="D38" s="12" t="inlineStr">
        <is>
          <t>May</t>
        </is>
      </c>
      <c r="E38" s="13" t="n">
        <v>529</v>
      </c>
      <c r="F38" s="14" t="n">
        <v>239500.46</v>
      </c>
      <c r="G38" s="14" t="n">
        <v>1974434.83</v>
      </c>
      <c r="H38" s="14" t="n">
        <v>2448048.83</v>
      </c>
      <c r="I38" s="14" t="n">
        <v>473614</v>
      </c>
      <c r="J38" s="16" t="n">
        <v>8.243970930160218</v>
      </c>
      <c r="K38" s="16" t="n">
        <v>10.22147861427907</v>
      </c>
      <c r="L38" s="16" t="n">
        <v>1.977507684118853</v>
      </c>
      <c r="M38" s="16" t="n">
        <v>1.977507684118853</v>
      </c>
      <c r="N38" s="16" t="n">
        <v>8.138163711253805</v>
      </c>
      <c r="O38" s="16" t="n">
        <v>10.76965590701792</v>
      </c>
      <c r="P38" s="14" t="n">
        <v>452.7418903591682</v>
      </c>
      <c r="Q38" s="15" t="n">
        <v>0.7644213211007298</v>
      </c>
      <c r="R38" s="15" t="n">
        <v>0.6044042081078647</v>
      </c>
      <c r="S38" s="16" t="n">
        <v>0.4301636074288897</v>
      </c>
      <c r="T38" s="15" t="n">
        <v>5.505172954258684</v>
      </c>
      <c r="U38" s="16" t="n">
        <v>0.8756328125978232</v>
      </c>
      <c r="V38" s="15" t="n">
        <v>9.369219556782152</v>
      </c>
      <c r="W38" s="15" t="n">
        <v>10.99647110686302</v>
      </c>
    </row>
    <row r="39">
      <c r="A39" s="12" t="inlineStr">
        <is>
          <t>EAST ZONE RO</t>
        </is>
      </c>
      <c r="B39" s="12" t="inlineStr">
        <is>
          <t>NORTH EAST ZONE RO</t>
        </is>
      </c>
      <c r="C39" s="12" t="inlineStr">
        <is>
          <t>EAST ZONE RO → NORTH EAST ZONE RO</t>
        </is>
      </c>
      <c r="D39" s="12" t="inlineStr">
        <is>
          <t>June</t>
        </is>
      </c>
      <c r="E39" s="13" t="n">
        <v>684</v>
      </c>
      <c r="F39" s="14" t="n">
        <v>261172.965</v>
      </c>
      <c r="G39" s="14" t="n">
        <v>2223925.58</v>
      </c>
      <c r="H39" s="14" t="n">
        <v>2755052.8</v>
      </c>
      <c r="I39" s="14" t="n">
        <v>531127.22</v>
      </c>
      <c r="J39" s="16" t="n">
        <v>8.51514466667712</v>
      </c>
      <c r="K39" s="16" t="n">
        <v>10.54876717427472</v>
      </c>
      <c r="L39" s="16" t="n">
        <v>2.033622507597599</v>
      </c>
      <c r="M39" s="16" t="n">
        <v>2.033622507597599</v>
      </c>
      <c r="N39" s="16" t="n">
        <v>8.511123375057984</v>
      </c>
      <c r="O39" s="16" t="n">
        <v>11.08593750181268</v>
      </c>
      <c r="P39" s="14" t="n">
        <v>381.8318201754386</v>
      </c>
      <c r="Q39" s="15" t="n">
        <v>0.8335941523498313</v>
      </c>
      <c r="R39" s="15" t="n">
        <v>0.6802010995341768</v>
      </c>
      <c r="S39" s="16" t="n">
        <v>0.2711737365169018</v>
      </c>
      <c r="T39" s="15" t="n">
        <v>3.289358232994541</v>
      </c>
      <c r="U39" s="16" t="n">
        <v>0.3272885599956474</v>
      </c>
      <c r="V39" s="15" t="n">
        <v>3.201968837839527</v>
      </c>
      <c r="W39" s="15" t="n">
        <v>9.049045250267998</v>
      </c>
    </row>
    <row r="40">
      <c r="A40" s="12" t="inlineStr">
        <is>
          <t>EAST ZONE RO</t>
        </is>
      </c>
      <c r="B40" s="12" t="inlineStr">
        <is>
          <t>NORTH EAST ZONE RO</t>
        </is>
      </c>
      <c r="C40" s="12" t="inlineStr">
        <is>
          <t>EAST ZONE RO → NORTH EAST ZONE RO</t>
        </is>
      </c>
      <c r="D40" s="12" t="inlineStr">
        <is>
          <t>July</t>
        </is>
      </c>
      <c r="E40" s="13" t="n">
        <v>778</v>
      </c>
      <c r="F40" s="14" t="n">
        <v>291025.645</v>
      </c>
      <c r="G40" s="14" t="n">
        <v>2358848.42</v>
      </c>
      <c r="H40" s="14" t="n">
        <v>3049138.8</v>
      </c>
      <c r="I40" s="14" t="n">
        <v>690290.38</v>
      </c>
      <c r="J40" s="16" t="n">
        <v>8.105294019707438</v>
      </c>
      <c r="K40" s="16" t="n">
        <v>10.47721687894549</v>
      </c>
      <c r="L40" s="16" t="n">
        <v>2.371922859238058</v>
      </c>
      <c r="M40" s="16" t="n">
        <v>2.371922859238056</v>
      </c>
      <c r="N40" s="16" t="n">
        <v>8.499395660293494</v>
      </c>
      <c r="O40" s="16" t="n">
        <v>12.239215851587</v>
      </c>
      <c r="P40" s="14" t="n">
        <v>374.0689524421594</v>
      </c>
      <c r="Q40" s="15" t="n">
        <v>0.9288759112408052</v>
      </c>
      <c r="R40" s="15" t="n">
        <v>0.7528086446809007</v>
      </c>
      <c r="S40" s="16" t="n">
        <v>-0.4098506469696819</v>
      </c>
      <c r="T40" s="15" t="n">
        <v>-4.81319652235126</v>
      </c>
      <c r="U40" s="16" t="n">
        <v>-0.07155029532922441</v>
      </c>
      <c r="V40" s="15" t="n">
        <v>-0.6782811123532438</v>
      </c>
      <c r="W40" s="15" t="n">
        <v>11.43023360017375</v>
      </c>
    </row>
    <row r="41">
      <c r="A41" s="12" t="inlineStr">
        <is>
          <t>EAST ZONE RO</t>
        </is>
      </c>
      <c r="B41" s="12" t="inlineStr">
        <is>
          <t>NEPAL ZONE</t>
        </is>
      </c>
      <c r="C41" s="12" t="inlineStr">
        <is>
          <t>EAST ZONE RO → NEPAL ZONE</t>
        </is>
      </c>
      <c r="D41" s="12" t="inlineStr">
        <is>
          <t>April</t>
        </is>
      </c>
      <c r="E41" s="13" t="n">
        <v>186</v>
      </c>
      <c r="F41" s="14" t="n">
        <v>148524.56</v>
      </c>
      <c r="G41" s="14" t="n">
        <v>1237287.43</v>
      </c>
      <c r="H41" s="14" t="n">
        <v>1724726.75</v>
      </c>
      <c r="I41" s="14" t="n">
        <v>487439.32</v>
      </c>
      <c r="J41" s="16" t="n">
        <v>8.330524123417703</v>
      </c>
      <c r="K41" s="16" t="n">
        <v>11.61240100627129</v>
      </c>
      <c r="L41" s="16" t="n">
        <v>3.281876882853584</v>
      </c>
      <c r="M41" s="16" t="n">
        <v>3.281876882853583</v>
      </c>
      <c r="N41" s="16" t="n">
        <v>8.822147210727133</v>
      </c>
      <c r="O41" s="16" t="n">
        <v>19.37586906255061</v>
      </c>
      <c r="P41" s="14" t="n">
        <v>798.5191397849462</v>
      </c>
      <c r="Q41" s="15" t="n">
        <v>0.4740506150639736</v>
      </c>
      <c r="R41" s="15" t="n">
        <v>0.4258216146514533</v>
      </c>
      <c r="S41" s="12" t="n"/>
      <c r="T41" s="12" t="n"/>
      <c r="U41" s="12" t="n"/>
      <c r="V41" s="12" t="n"/>
      <c r="W41" s="12" t="n"/>
    </row>
    <row r="42">
      <c r="A42" s="12" t="inlineStr">
        <is>
          <t>EAST ZONE RO</t>
        </is>
      </c>
      <c r="B42" s="12" t="inlineStr">
        <is>
          <t>NEPAL ZONE</t>
        </is>
      </c>
      <c r="C42" s="12" t="inlineStr">
        <is>
          <t>EAST ZONE RO → NEPAL ZONE</t>
        </is>
      </c>
      <c r="D42" s="12" t="inlineStr">
        <is>
          <t>May</t>
        </is>
      </c>
      <c r="E42" s="13" t="n">
        <v>194</v>
      </c>
      <c r="F42" s="14" t="n">
        <v>155336.166</v>
      </c>
      <c r="G42" s="14" t="n">
        <v>1338044.19</v>
      </c>
      <c r="H42" s="14" t="n">
        <v>1866353.91</v>
      </c>
      <c r="I42" s="14" t="n">
        <v>528309.72</v>
      </c>
      <c r="J42" s="16" t="n">
        <v>8.6138613077395</v>
      </c>
      <c r="K42" s="16" t="n">
        <v>12.01493482206842</v>
      </c>
      <c r="L42" s="16" t="n">
        <v>3.401073514328917</v>
      </c>
      <c r="M42" s="16" t="n">
        <v>3.401073514328916</v>
      </c>
      <c r="N42" s="16" t="n">
        <v>8.564127632707098</v>
      </c>
      <c r="O42" s="16" t="n">
        <v>17.25091585750084</v>
      </c>
      <c r="P42" s="14" t="n">
        <v>800.7018865979381</v>
      </c>
      <c r="Q42" s="15" t="n">
        <v>0.4957914370120302</v>
      </c>
      <c r="R42" s="15" t="n">
        <v>0.4607882584689158</v>
      </c>
      <c r="S42" s="16" t="n">
        <v>0.2833371843217964</v>
      </c>
      <c r="T42" s="15" t="n">
        <v>3.40119277159663</v>
      </c>
      <c r="U42" s="16" t="n">
        <v>0.4025338157971294</v>
      </c>
      <c r="V42" s="15" t="n">
        <v>3.466413324684023</v>
      </c>
      <c r="W42" s="15" t="n">
        <v>4.586181571586544</v>
      </c>
    </row>
    <row r="43">
      <c r="A43" s="12" t="inlineStr">
        <is>
          <t>EAST ZONE RO</t>
        </is>
      </c>
      <c r="B43" s="12" t="inlineStr">
        <is>
          <t>NEPAL ZONE</t>
        </is>
      </c>
      <c r="C43" s="12" t="inlineStr">
        <is>
          <t>EAST ZONE RO → NEPAL ZONE</t>
        </is>
      </c>
      <c r="D43" s="12" t="inlineStr">
        <is>
          <t>June</t>
        </is>
      </c>
      <c r="E43" s="13" t="n">
        <v>219</v>
      </c>
      <c r="F43" s="14" t="n">
        <v>131996.754</v>
      </c>
      <c r="G43" s="14" t="n">
        <v>1075935.36</v>
      </c>
      <c r="H43" s="14" t="n">
        <v>1607461.43</v>
      </c>
      <c r="I43" s="14" t="n">
        <v>531526.0699999999</v>
      </c>
      <c r="J43" s="16" t="n">
        <v>8.151225900600558</v>
      </c>
      <c r="K43" s="16" t="n">
        <v>12.17803757507552</v>
      </c>
      <c r="L43" s="16" t="n">
        <v>4.026811674474965</v>
      </c>
      <c r="M43" s="16" t="n">
        <v>4.026811674474963</v>
      </c>
      <c r="N43" s="16" t="n">
        <v>8.876178221505201</v>
      </c>
      <c r="O43" s="16" t="n">
        <v>19.5446582403031</v>
      </c>
      <c r="P43" s="14" t="n">
        <v>602.724904109589</v>
      </c>
      <c r="Q43" s="15" t="n">
        <v>0.4212982850792354</v>
      </c>
      <c r="R43" s="15" t="n">
        <v>0.3968697195729898</v>
      </c>
      <c r="S43" s="16" t="n">
        <v>-0.4626354071389418</v>
      </c>
      <c r="T43" s="15" t="n">
        <v>-5.370824890380657</v>
      </c>
      <c r="U43" s="16" t="n">
        <v>0.1631027530071059</v>
      </c>
      <c r="V43" s="15" t="n">
        <v>1.357500106513496</v>
      </c>
      <c r="W43" s="15" t="n">
        <v>-15.02509853371816</v>
      </c>
    </row>
    <row r="44">
      <c r="A44" s="12" t="inlineStr">
        <is>
          <t>EAST ZONE RO</t>
        </is>
      </c>
      <c r="B44" s="12" t="inlineStr">
        <is>
          <t>NEPAL ZONE</t>
        </is>
      </c>
      <c r="C44" s="12" t="inlineStr">
        <is>
          <t>EAST ZONE RO → NEPAL ZONE</t>
        </is>
      </c>
      <c r="D44" s="12" t="inlineStr">
        <is>
          <t>July</t>
        </is>
      </c>
      <c r="E44" s="13" t="n">
        <v>208</v>
      </c>
      <c r="F44" s="14" t="n">
        <v>203026.712</v>
      </c>
      <c r="G44" s="14" t="n">
        <v>1474908.07</v>
      </c>
      <c r="H44" s="14" t="n">
        <v>2022008.26</v>
      </c>
      <c r="I44" s="14" t="n">
        <v>547100.1899999999</v>
      </c>
      <c r="J44" s="16" t="n">
        <v>7.264601073773977</v>
      </c>
      <c r="K44" s="16" t="n">
        <v>9.959321313345212</v>
      </c>
      <c r="L44" s="16" t="n">
        <v>2.694720239571234</v>
      </c>
      <c r="M44" s="16" t="n">
        <v>2.694720239571235</v>
      </c>
      <c r="N44" s="16" t="n">
        <v>7.979595675386775</v>
      </c>
      <c r="O44" s="16" t="n">
        <v>17.3434560801386</v>
      </c>
      <c r="P44" s="14" t="n">
        <v>976.0899615384616</v>
      </c>
      <c r="Q44" s="15" t="n">
        <v>0.6480068865244659</v>
      </c>
      <c r="R44" s="15" t="n">
        <v>0.4992181063532386</v>
      </c>
      <c r="S44" s="16" t="n">
        <v>-0.8866248268265808</v>
      </c>
      <c r="T44" s="15" t="n">
        <v>-10.87719611305653</v>
      </c>
      <c r="U44" s="16" t="n">
        <v>-2.218716261730309</v>
      </c>
      <c r="V44" s="15" t="n">
        <v>-18.21899668195555</v>
      </c>
      <c r="W44" s="15" t="n">
        <v>53.81189752590433</v>
      </c>
    </row>
    <row r="45">
      <c r="A45" s="12" t="inlineStr">
        <is>
          <t>WEST ZONE RO</t>
        </is>
      </c>
      <c r="B45" s="12" t="inlineStr">
        <is>
          <t>NORTH ZONE RO</t>
        </is>
      </c>
      <c r="C45" s="12" t="inlineStr">
        <is>
          <t>WEST ZONE RO → NORTH ZONE RO</t>
        </is>
      </c>
      <c r="D45" s="12" t="inlineStr">
        <is>
          <t>April</t>
        </is>
      </c>
      <c r="E45" s="13" t="n">
        <v>19</v>
      </c>
      <c r="F45" s="14" t="n">
        <v>41566</v>
      </c>
      <c r="G45" s="14" t="n">
        <v>239924.7</v>
      </c>
      <c r="H45" s="14" t="n">
        <v>287969.86</v>
      </c>
      <c r="I45" s="14" t="n">
        <v>48045.16</v>
      </c>
      <c r="J45" s="16" t="n">
        <v>5.772138286099216</v>
      </c>
      <c r="K45" s="16" t="n">
        <v>6.92801472357215</v>
      </c>
      <c r="L45" s="16" t="n">
        <v>1.155876437472935</v>
      </c>
      <c r="M45" s="16" t="n">
        <v>1.155876437472934</v>
      </c>
      <c r="N45" s="16" t="n">
        <v>10.19421052631579</v>
      </c>
      <c r="O45" s="16" t="n">
        <v>13.87925351065494</v>
      </c>
      <c r="P45" s="14" t="n">
        <v>2187.684210526316</v>
      </c>
      <c r="Q45" s="15" t="n">
        <v>0.1326675390639038</v>
      </c>
      <c r="R45" s="15" t="n">
        <v>0.07109751776978757</v>
      </c>
      <c r="S45" s="12" t="n"/>
      <c r="T45" s="12" t="n"/>
      <c r="U45" s="12" t="n"/>
      <c r="V45" s="12" t="n"/>
      <c r="W45" s="12" t="n"/>
    </row>
    <row r="46">
      <c r="A46" s="12" t="inlineStr">
        <is>
          <t>WEST ZONE RO</t>
        </is>
      </c>
      <c r="B46" s="12" t="inlineStr">
        <is>
          <t>NORTH ZONE RO</t>
        </is>
      </c>
      <c r="C46" s="12" t="inlineStr">
        <is>
          <t>WEST ZONE RO → NORTH ZONE RO</t>
        </is>
      </c>
      <c r="D46" s="12" t="inlineStr">
        <is>
          <t>May</t>
        </is>
      </c>
      <c r="E46" s="13" t="n">
        <v>29</v>
      </c>
      <c r="F46" s="14" t="n">
        <v>60270</v>
      </c>
      <c r="G46" s="14" t="n">
        <v>371054.3</v>
      </c>
      <c r="H46" s="14" t="n">
        <v>433883.19</v>
      </c>
      <c r="I46" s="14" t="n">
        <v>62828.89</v>
      </c>
      <c r="J46" s="16" t="n">
        <v>6.156533930645429</v>
      </c>
      <c r="K46" s="16" t="n">
        <v>7.198991040318567</v>
      </c>
      <c r="L46" s="16" t="n">
        <v>1.042457109673137</v>
      </c>
      <c r="M46" s="16" t="n">
        <v>1.042457109673138</v>
      </c>
      <c r="N46" s="16" t="n">
        <v>9.607471264367817</v>
      </c>
      <c r="O46" s="16" t="n">
        <v>12.89915642668257</v>
      </c>
      <c r="P46" s="14" t="n">
        <v>2078.275862068966</v>
      </c>
      <c r="Q46" s="15" t="n">
        <v>0.1923656974301468</v>
      </c>
      <c r="R46" s="15" t="n">
        <v>0.1071223836099969</v>
      </c>
      <c r="S46" s="16" t="n">
        <v>0.3843956445462124</v>
      </c>
      <c r="T46" s="15" t="n">
        <v>6.659501652480077</v>
      </c>
      <c r="U46" s="16" t="n">
        <v>0.2709763167464168</v>
      </c>
      <c r="V46" s="15" t="n">
        <v>3.911312656776497</v>
      </c>
      <c r="W46" s="15" t="n">
        <v>44.99831593128999</v>
      </c>
    </row>
    <row r="47">
      <c r="A47" s="12" t="inlineStr">
        <is>
          <t>WEST ZONE RO</t>
        </is>
      </c>
      <c r="B47" s="12" t="inlineStr">
        <is>
          <t>NORTH ZONE RO</t>
        </is>
      </c>
      <c r="C47" s="12" t="inlineStr">
        <is>
          <t>WEST ZONE RO → NORTH ZONE RO</t>
        </is>
      </c>
      <c r="D47" s="12" t="inlineStr">
        <is>
          <t>June</t>
        </is>
      </c>
      <c r="E47" s="13" t="n">
        <v>17</v>
      </c>
      <c r="F47" s="14" t="n">
        <v>43878</v>
      </c>
      <c r="G47" s="14" t="n">
        <v>286768.5</v>
      </c>
      <c r="H47" s="14" t="n">
        <v>352723</v>
      </c>
      <c r="I47" s="14" t="n">
        <v>65954.5</v>
      </c>
      <c r="J47" s="16" t="n">
        <v>6.535587310269383</v>
      </c>
      <c r="K47" s="16" t="n">
        <v>8.038720999133963</v>
      </c>
      <c r="L47" s="16" t="n">
        <v>1.503133688864579</v>
      </c>
      <c r="M47" s="16" t="n">
        <v>1.50313368886458</v>
      </c>
      <c r="N47" s="16" t="n">
        <v>8.291492135968046</v>
      </c>
      <c r="O47" s="16" t="n">
        <v>10.57602614659848</v>
      </c>
      <c r="P47" s="14" t="n">
        <v>2581.058823529412</v>
      </c>
      <c r="Q47" s="15" t="n">
        <v>0.1400468238234608</v>
      </c>
      <c r="R47" s="15" t="n">
        <v>0.0870845641981865</v>
      </c>
      <c r="S47" s="16" t="n">
        <v>0.3790533796239544</v>
      </c>
      <c r="T47" s="15" t="n">
        <v>6.156928295922114</v>
      </c>
      <c r="U47" s="16" t="n">
        <v>0.8397299588153961</v>
      </c>
      <c r="V47" s="15" t="n">
        <v>11.66455068651172</v>
      </c>
      <c r="W47" s="15" t="n">
        <v>-27.19761075161772</v>
      </c>
    </row>
    <row r="48">
      <c r="A48" s="12" t="inlineStr">
        <is>
          <t>WEST ZONE RO</t>
        </is>
      </c>
      <c r="B48" s="12" t="inlineStr">
        <is>
          <t>NORTH ZONE RO</t>
        </is>
      </c>
      <c r="C48" s="12" t="inlineStr">
        <is>
          <t>WEST ZONE RO → NORTH ZONE RO</t>
        </is>
      </c>
      <c r="D48" s="12" t="inlineStr">
        <is>
          <t>July</t>
        </is>
      </c>
      <c r="E48" s="13" t="n">
        <v>20</v>
      </c>
      <c r="F48" s="14" t="n">
        <v>35197</v>
      </c>
      <c r="G48" s="14" t="n">
        <v>275890.4</v>
      </c>
      <c r="H48" s="14" t="n">
        <v>360217</v>
      </c>
      <c r="I48" s="14" t="n">
        <v>84326.60000000001</v>
      </c>
      <c r="J48" s="16" t="n">
        <v>7.838463505412394</v>
      </c>
      <c r="K48" s="16" t="n">
        <v>10.23430974230758</v>
      </c>
      <c r="L48" s="16" t="n">
        <v>2.39584623689519</v>
      </c>
      <c r="M48" s="16" t="n">
        <v>2.395846236895188</v>
      </c>
      <c r="N48" s="16" t="n">
        <v>9.4717</v>
      </c>
      <c r="O48" s="16" t="n">
        <v>12.74931371520864</v>
      </c>
      <c r="P48" s="14" t="n">
        <v>1759.85</v>
      </c>
      <c r="Q48" s="15" t="n">
        <v>0.1123393969213353</v>
      </c>
      <c r="R48" s="15" t="n">
        <v>0.08893477448813415</v>
      </c>
      <c r="S48" s="16" t="n">
        <v>1.302876195143011</v>
      </c>
      <c r="T48" s="15" t="n">
        <v>19.93510503785633</v>
      </c>
      <c r="U48" s="16" t="n">
        <v>2.195588743173619</v>
      </c>
      <c r="V48" s="15" t="n">
        <v>27.31266259160079</v>
      </c>
      <c r="W48" s="15" t="n">
        <v>-19.78440220611696</v>
      </c>
    </row>
    <row r="49">
      <c r="A49" s="12" t="inlineStr">
        <is>
          <t>WEST ZONE RO</t>
        </is>
      </c>
      <c r="B49" s="12" t="inlineStr">
        <is>
          <t>EAST ZONE RO</t>
        </is>
      </c>
      <c r="C49" s="12" t="inlineStr">
        <is>
          <t>WEST ZONE RO → EAST ZONE RO</t>
        </is>
      </c>
      <c r="D49" s="12" t="inlineStr">
        <is>
          <t>April</t>
        </is>
      </c>
      <c r="E49" s="13" t="n">
        <v>333</v>
      </c>
      <c r="F49" s="14" t="n">
        <v>334939.4</v>
      </c>
      <c r="G49" s="14" t="n">
        <v>3947157.61</v>
      </c>
      <c r="H49" s="14" t="n">
        <v>4947937.6</v>
      </c>
      <c r="I49" s="14" t="n">
        <v>1000779.99</v>
      </c>
      <c r="J49" s="16" t="n">
        <v>11.78469182783512</v>
      </c>
      <c r="K49" s="16" t="n">
        <v>14.77263528865221</v>
      </c>
      <c r="L49" s="16" t="n">
        <v>2.987943460817091</v>
      </c>
      <c r="M49" s="16" t="n">
        <v>2.987943460817091</v>
      </c>
      <c r="N49" s="16" t="n">
        <v>13.49720858227296</v>
      </c>
      <c r="O49" s="16" t="n">
        <v>23.34732972682456</v>
      </c>
      <c r="P49" s="14" t="n">
        <v>1005.824024024024</v>
      </c>
      <c r="Q49" s="15" t="n">
        <v>1.069036855447734</v>
      </c>
      <c r="R49" s="15" t="n">
        <v>1.221607294040425</v>
      </c>
      <c r="S49" s="12" t="n"/>
      <c r="T49" s="12" t="n"/>
      <c r="U49" s="12" t="n"/>
      <c r="V49" s="12" t="n"/>
      <c r="W49" s="12" t="n"/>
    </row>
    <row r="50">
      <c r="A50" s="12" t="inlineStr">
        <is>
          <t>WEST ZONE RO</t>
        </is>
      </c>
      <c r="B50" s="12" t="inlineStr">
        <is>
          <t>EAST ZONE RO</t>
        </is>
      </c>
      <c r="C50" s="12" t="inlineStr">
        <is>
          <t>WEST ZONE RO → EAST ZONE RO</t>
        </is>
      </c>
      <c r="D50" s="12" t="inlineStr">
        <is>
          <t>May</t>
        </is>
      </c>
      <c r="E50" s="13" t="n">
        <v>290</v>
      </c>
      <c r="F50" s="14" t="n">
        <v>270330.13</v>
      </c>
      <c r="G50" s="14" t="n">
        <v>3174523.35</v>
      </c>
      <c r="H50" s="14" t="n">
        <v>4092022.07</v>
      </c>
      <c r="I50" s="14" t="n">
        <v>917498.72</v>
      </c>
      <c r="J50" s="16" t="n">
        <v>11.74313551360331</v>
      </c>
      <c r="K50" s="16" t="n">
        <v>15.13712907251589</v>
      </c>
      <c r="L50" s="16" t="n">
        <v>3.393993558912578</v>
      </c>
      <c r="M50" s="16" t="n">
        <v>3.393993558912578</v>
      </c>
      <c r="N50" s="16" t="n">
        <v>13.75389474834124</v>
      </c>
      <c r="O50" s="16" t="n">
        <v>24.96706110088135</v>
      </c>
      <c r="P50" s="14" t="n">
        <v>932.1728620689655</v>
      </c>
      <c r="Q50" s="15" t="n">
        <v>0.8628213703970841</v>
      </c>
      <c r="R50" s="15" t="n">
        <v>1.010288409475172</v>
      </c>
      <c r="S50" s="16" t="n">
        <v>-0.04155631423181205</v>
      </c>
      <c r="T50" s="15" t="n">
        <v>-0.3526296218765531</v>
      </c>
      <c r="U50" s="16" t="n">
        <v>0.3644937838636757</v>
      </c>
      <c r="V50" s="15" t="n">
        <v>2.467357900209357</v>
      </c>
      <c r="W50" s="15" t="n">
        <v>-19.28983869917962</v>
      </c>
    </row>
    <row r="51">
      <c r="A51" s="12" t="inlineStr">
        <is>
          <t>WEST ZONE RO</t>
        </is>
      </c>
      <c r="B51" s="12" t="inlineStr">
        <is>
          <t>EAST ZONE RO</t>
        </is>
      </c>
      <c r="C51" s="12" t="inlineStr">
        <is>
          <t>WEST ZONE RO → EAST ZONE RO</t>
        </is>
      </c>
      <c r="D51" s="12" t="inlineStr">
        <is>
          <t>June</t>
        </is>
      </c>
      <c r="E51" s="13" t="n">
        <v>346</v>
      </c>
      <c r="F51" s="14" t="n">
        <v>248764</v>
      </c>
      <c r="G51" s="14" t="n">
        <v>3325112.19</v>
      </c>
      <c r="H51" s="14" t="n">
        <v>4598586.95</v>
      </c>
      <c r="I51" s="14" t="n">
        <v>1273474.76</v>
      </c>
      <c r="J51" s="16" t="n">
        <v>13.36653289865093</v>
      </c>
      <c r="K51" s="16" t="n">
        <v>18.48574130501198</v>
      </c>
      <c r="L51" s="16" t="n">
        <v>5.119208406361049</v>
      </c>
      <c r="M51" s="16" t="n">
        <v>5.11920840636105</v>
      </c>
      <c r="N51" s="16" t="n">
        <v>13.61753674140541</v>
      </c>
      <c r="O51" s="16" t="n">
        <v>24.1683213833848</v>
      </c>
      <c r="P51" s="14" t="n">
        <v>718.971098265896</v>
      </c>
      <c r="Q51" s="15" t="n">
        <v>0.793988059656762</v>
      </c>
      <c r="R51" s="15" t="n">
        <v>1.135355336817326</v>
      </c>
      <c r="S51" s="16" t="n">
        <v>1.623397385047619</v>
      </c>
      <c r="T51" s="15" t="n">
        <v>13.82422423012207</v>
      </c>
      <c r="U51" s="16" t="n">
        <v>3.348612232496091</v>
      </c>
      <c r="V51" s="15" t="n">
        <v>22.12184501072983</v>
      </c>
      <c r="W51" s="15" t="n">
        <v>-7.97770119076257</v>
      </c>
    </row>
    <row r="52">
      <c r="A52" s="12" t="inlineStr">
        <is>
          <t>WEST ZONE RO</t>
        </is>
      </c>
      <c r="B52" s="12" t="inlineStr">
        <is>
          <t>EAST ZONE RO</t>
        </is>
      </c>
      <c r="C52" s="12" t="inlineStr">
        <is>
          <t>WEST ZONE RO → EAST ZONE RO</t>
        </is>
      </c>
      <c r="D52" s="12" t="inlineStr">
        <is>
          <t>July</t>
        </is>
      </c>
      <c r="E52" s="13" t="n">
        <v>505</v>
      </c>
      <c r="F52" s="14" t="n">
        <v>275004.75</v>
      </c>
      <c r="G52" s="14" t="n">
        <v>3271518.4</v>
      </c>
      <c r="H52" s="14" t="n">
        <v>4310840.82</v>
      </c>
      <c r="I52" s="14" t="n">
        <v>1039322.42</v>
      </c>
      <c r="J52" s="16" t="n">
        <v>11.89622506520342</v>
      </c>
      <c r="K52" s="16" t="n">
        <v>15.67551404112111</v>
      </c>
      <c r="L52" s="16" t="n">
        <v>3.779288975917689</v>
      </c>
      <c r="M52" s="16" t="n">
        <v>3.779288975917691</v>
      </c>
      <c r="N52" s="16" t="n">
        <v>13.65509968585426</v>
      </c>
      <c r="O52" s="16" t="n">
        <v>22.67398888823818</v>
      </c>
      <c r="P52" s="14" t="n">
        <v>544.5638613861386</v>
      </c>
      <c r="Q52" s="15" t="n">
        <v>0.8777415053982607</v>
      </c>
      <c r="R52" s="15" t="n">
        <v>1.064313056243718</v>
      </c>
      <c r="S52" s="16" t="n">
        <v>-1.470307833447512</v>
      </c>
      <c r="T52" s="15" t="n">
        <v>-10.99991931038384</v>
      </c>
      <c r="U52" s="16" t="n">
        <v>-2.810227263890871</v>
      </c>
      <c r="V52" s="15" t="n">
        <v>-15.2021345399275</v>
      </c>
      <c r="W52" s="15" t="n">
        <v>10.54845154443569</v>
      </c>
    </row>
    <row r="53">
      <c r="A53" s="12" t="inlineStr">
        <is>
          <t>WEST ZONE RO</t>
        </is>
      </c>
      <c r="B53" s="12" t="inlineStr">
        <is>
          <t>WEST ZONE RO</t>
        </is>
      </c>
      <c r="C53" s="12" t="inlineStr">
        <is>
          <t>WEST ZONE RO → WEST ZONE RO</t>
        </is>
      </c>
      <c r="D53" s="12" t="inlineStr">
        <is>
          <t>April</t>
        </is>
      </c>
      <c r="E53" s="13" t="n">
        <v>5</v>
      </c>
      <c r="F53" s="14" t="n">
        <v>10030</v>
      </c>
      <c r="G53" s="14" t="n">
        <v>37912</v>
      </c>
      <c r="H53" s="14" t="n">
        <v>52088</v>
      </c>
      <c r="I53" s="14" t="n">
        <v>14176</v>
      </c>
      <c r="J53" s="16" t="n">
        <v>3.779860418743769</v>
      </c>
      <c r="K53" s="16" t="n">
        <v>5.193220338983051</v>
      </c>
      <c r="L53" s="16" t="n">
        <v>1.413359920239282</v>
      </c>
      <c r="M53" s="16" t="n">
        <v>1.413359920239282</v>
      </c>
      <c r="N53" s="16" t="n">
        <v>5.674</v>
      </c>
      <c r="O53" s="16" t="n">
        <v>8.954782608695652</v>
      </c>
      <c r="P53" s="14" t="n">
        <v>2006</v>
      </c>
      <c r="Q53" s="15" t="n">
        <v>0.03201307358925456</v>
      </c>
      <c r="R53" s="15" t="n">
        <v>0.01286012190856604</v>
      </c>
      <c r="S53" s="12" t="n"/>
      <c r="T53" s="12" t="n"/>
      <c r="U53" s="12" t="n"/>
      <c r="V53" s="12" t="n"/>
      <c r="W53" s="12" t="n"/>
    </row>
    <row r="54">
      <c r="A54" s="12" t="inlineStr">
        <is>
          <t>WEST ZONE RO</t>
        </is>
      </c>
      <c r="B54" s="12" t="inlineStr">
        <is>
          <t>WEST ZONE RO</t>
        </is>
      </c>
      <c r="C54" s="12" t="inlineStr">
        <is>
          <t>WEST ZONE RO → WEST ZONE RO</t>
        </is>
      </c>
      <c r="D54" s="12" t="inlineStr">
        <is>
          <t>May</t>
        </is>
      </c>
      <c r="E54" s="13" t="n">
        <v>21</v>
      </c>
      <c r="F54" s="14" t="n">
        <v>30440</v>
      </c>
      <c r="G54" s="14" t="n">
        <v>148419</v>
      </c>
      <c r="H54" s="14" t="n">
        <v>207918.73</v>
      </c>
      <c r="I54" s="14" t="n">
        <v>59499.73</v>
      </c>
      <c r="J54" s="16" t="n">
        <v>4.875788436268068</v>
      </c>
      <c r="K54" s="16" t="n">
        <v>6.830444480946124</v>
      </c>
      <c r="L54" s="16" t="n">
        <v>1.954656044678055</v>
      </c>
      <c r="M54" s="16" t="n">
        <v>1.954656044678056</v>
      </c>
      <c r="N54" s="16" t="n">
        <v>6.282380952380953</v>
      </c>
      <c r="O54" s="16" t="n">
        <v>9.704930450030517</v>
      </c>
      <c r="P54" s="14" t="n">
        <v>1449.52380952381</v>
      </c>
      <c r="Q54" s="15" t="n">
        <v>0.09715632702461705</v>
      </c>
      <c r="R54" s="15" t="n">
        <v>0.05133351664249398</v>
      </c>
      <c r="S54" s="16" t="n">
        <v>1.095928017524299</v>
      </c>
      <c r="T54" s="15" t="n">
        <v>28.99387533173855</v>
      </c>
      <c r="U54" s="16" t="n">
        <v>1.637224141963073</v>
      </c>
      <c r="V54" s="15" t="n">
        <v>31.52618289028111</v>
      </c>
      <c r="W54" s="15" t="n">
        <v>203.4895314057827</v>
      </c>
    </row>
    <row r="55">
      <c r="A55" s="12" t="inlineStr">
        <is>
          <t>WEST ZONE RO</t>
        </is>
      </c>
      <c r="B55" s="12" t="inlineStr">
        <is>
          <t>WEST ZONE RO</t>
        </is>
      </c>
      <c r="C55" s="12" t="inlineStr">
        <is>
          <t>WEST ZONE RO → WEST ZONE RO</t>
        </is>
      </c>
      <c r="D55" s="12" t="inlineStr">
        <is>
          <t>June</t>
        </is>
      </c>
      <c r="E55" s="13" t="n">
        <v>20</v>
      </c>
      <c r="F55" s="14" t="n">
        <v>35029</v>
      </c>
      <c r="G55" s="14" t="n">
        <v>204208.3</v>
      </c>
      <c r="H55" s="14" t="n">
        <v>263927</v>
      </c>
      <c r="I55" s="14" t="n">
        <v>59718.7</v>
      </c>
      <c r="J55" s="16" t="n">
        <v>5.82969254046647</v>
      </c>
      <c r="K55" s="16" t="n">
        <v>7.534528533500813</v>
      </c>
      <c r="L55" s="16" t="n">
        <v>1.704835993034343</v>
      </c>
      <c r="M55" s="16" t="n">
        <v>1.704835993034343</v>
      </c>
      <c r="N55" s="16" t="n">
        <v>7.274666666666667</v>
      </c>
      <c r="O55" s="16" t="n">
        <v>11.79962398401855</v>
      </c>
      <c r="P55" s="14" t="n">
        <v>1751.45</v>
      </c>
      <c r="Q55" s="15" t="n">
        <v>0.1118031859180457</v>
      </c>
      <c r="R55" s="15" t="n">
        <v>0.0651615227108376</v>
      </c>
      <c r="S55" s="16" t="n">
        <v>0.9539041041984024</v>
      </c>
      <c r="T55" s="15" t="n">
        <v>19.56409956393681</v>
      </c>
      <c r="U55" s="16" t="n">
        <v>0.7040840525546894</v>
      </c>
      <c r="V55" s="15" t="n">
        <v>10.30802687173241</v>
      </c>
      <c r="W55" s="15" t="n">
        <v>15.07555847568988</v>
      </c>
    </row>
    <row r="56">
      <c r="A56" s="12" t="inlineStr">
        <is>
          <t>WEST ZONE RO</t>
        </is>
      </c>
      <c r="B56" s="12" t="inlineStr">
        <is>
          <t>WEST ZONE RO</t>
        </is>
      </c>
      <c r="C56" s="12" t="inlineStr">
        <is>
          <t>WEST ZONE RO → WEST ZONE RO</t>
        </is>
      </c>
      <c r="D56" s="12" t="inlineStr">
        <is>
          <t>July</t>
        </is>
      </c>
      <c r="E56" s="13" t="n">
        <v>35</v>
      </c>
      <c r="F56" s="14" t="n">
        <v>66415</v>
      </c>
      <c r="G56" s="14" t="n">
        <v>266198.96</v>
      </c>
      <c r="H56" s="14" t="n">
        <v>365486.3</v>
      </c>
      <c r="I56" s="14" t="n">
        <v>99287.34</v>
      </c>
      <c r="J56" s="16" t="n">
        <v>4.008115034254311</v>
      </c>
      <c r="K56" s="16" t="n">
        <v>5.503068583904239</v>
      </c>
      <c r="L56" s="16" t="n">
        <v>1.494953549649928</v>
      </c>
      <c r="M56" s="16" t="n">
        <v>1.494953549649928</v>
      </c>
      <c r="N56" s="16" t="n">
        <v>5.166171428571428</v>
      </c>
      <c r="O56" s="16" t="n">
        <v>8.230173504788281</v>
      </c>
      <c r="P56" s="14" t="n">
        <v>1897.571428571429</v>
      </c>
      <c r="Q56" s="15" t="n">
        <v>0.2119788915683292</v>
      </c>
      <c r="R56" s="15" t="n">
        <v>0.09023572365824641</v>
      </c>
      <c r="S56" s="16" t="n">
        <v>-1.82157750621216</v>
      </c>
      <c r="T56" s="15" t="n">
        <v>-31.24654505478266</v>
      </c>
      <c r="U56" s="16" t="n">
        <v>-2.031459949596575</v>
      </c>
      <c r="V56" s="15" t="n">
        <v>-26.96200486286678</v>
      </c>
      <c r="W56" s="15" t="n">
        <v>89.60004567643952</v>
      </c>
    </row>
    <row r="57">
      <c r="A57" s="12" t="inlineStr">
        <is>
          <t>WEST ZONE RO</t>
        </is>
      </c>
      <c r="B57" s="12" t="inlineStr">
        <is>
          <t>SOUTH ZONE RO</t>
        </is>
      </c>
      <c r="C57" s="12" t="inlineStr">
        <is>
          <t>WEST ZONE RO → SOUTH ZONE RO</t>
        </is>
      </c>
      <c r="D57" s="12" t="inlineStr">
        <is>
          <t>April</t>
        </is>
      </c>
      <c r="E57" s="13" t="n">
        <v>7</v>
      </c>
      <c r="F57" s="14" t="n">
        <v>20295</v>
      </c>
      <c r="G57" s="14" t="n">
        <v>165037</v>
      </c>
      <c r="H57" s="14" t="n">
        <v>191800</v>
      </c>
      <c r="I57" s="14" t="n">
        <v>26763</v>
      </c>
      <c r="J57" s="16" t="n">
        <v>8.13190440995319</v>
      </c>
      <c r="K57" s="16" t="n">
        <v>9.45060359694506</v>
      </c>
      <c r="L57" s="16" t="n">
        <v>1.31869918699187</v>
      </c>
      <c r="M57" s="16" t="n">
        <v>1.31869918699187</v>
      </c>
      <c r="N57" s="16" t="n">
        <v>10.2</v>
      </c>
      <c r="O57" s="16" t="n">
        <v>12.66253406027665</v>
      </c>
      <c r="P57" s="14" t="n">
        <v>2899.285714285714</v>
      </c>
      <c r="Q57" s="15" t="n">
        <v>0.06477620423668209</v>
      </c>
      <c r="R57" s="15" t="n">
        <v>0.04735392762369386</v>
      </c>
      <c r="S57" s="12" t="n"/>
      <c r="T57" s="12" t="n"/>
      <c r="U57" s="12" t="n"/>
      <c r="V57" s="12" t="n"/>
      <c r="W57" s="12" t="n"/>
    </row>
    <row r="58">
      <c r="A58" s="12" t="inlineStr">
        <is>
          <t>WEST ZONE RO</t>
        </is>
      </c>
      <c r="B58" s="12" t="inlineStr">
        <is>
          <t>SOUTH ZONE RO</t>
        </is>
      </c>
      <c r="C58" s="12" t="inlineStr">
        <is>
          <t>WEST ZONE RO → SOUTH ZONE RO</t>
        </is>
      </c>
      <c r="D58" s="12" t="inlineStr">
        <is>
          <t>May</t>
        </is>
      </c>
      <c r="E58" s="13" t="n">
        <v>3</v>
      </c>
      <c r="F58" s="14" t="n">
        <v>7800</v>
      </c>
      <c r="G58" s="14" t="n">
        <v>41470</v>
      </c>
      <c r="H58" s="14" t="n">
        <v>58800</v>
      </c>
      <c r="I58" s="14" t="n">
        <v>17330</v>
      </c>
      <c r="J58" s="16" t="n">
        <v>5.316666666666666</v>
      </c>
      <c r="K58" s="16" t="n">
        <v>7.538461538461538</v>
      </c>
      <c r="L58" s="16" t="n">
        <v>2.221794871794872</v>
      </c>
      <c r="M58" s="16" t="n">
        <v>2.221794871794872</v>
      </c>
      <c r="N58" s="16" t="n">
        <v>5.533333333333334</v>
      </c>
      <c r="O58" s="16" t="n">
        <v>7.898924731182795</v>
      </c>
      <c r="P58" s="14" t="n">
        <v>2600</v>
      </c>
      <c r="Q58" s="15" t="n">
        <v>0.02489551086701751</v>
      </c>
      <c r="R58" s="15" t="n">
        <v>0.01451726248317622</v>
      </c>
      <c r="S58" s="16" t="n">
        <v>-2.815237743286524</v>
      </c>
      <c r="T58" s="15" t="n">
        <v>-34.61966104570491</v>
      </c>
      <c r="U58" s="16" t="n">
        <v>-1.912142058483521</v>
      </c>
      <c r="V58" s="15" t="n">
        <v>-20.23301516002246</v>
      </c>
      <c r="W58" s="15" t="n">
        <v>-61.56688839615669</v>
      </c>
    </row>
    <row r="59">
      <c r="A59" s="12" t="inlineStr">
        <is>
          <t>WEST ZONE RO</t>
        </is>
      </c>
      <c r="B59" s="12" t="inlineStr">
        <is>
          <t>SOUTH ZONE RO</t>
        </is>
      </c>
      <c r="C59" s="12" t="inlineStr">
        <is>
          <t>WEST ZONE RO → SOUTH ZONE RO</t>
        </is>
      </c>
      <c r="D59" s="12" t="inlineStr">
        <is>
          <t>June</t>
        </is>
      </c>
      <c r="E59" s="13" t="n">
        <v>14</v>
      </c>
      <c r="F59" s="14" t="n">
        <v>42038</v>
      </c>
      <c r="G59" s="14" t="n">
        <v>227381</v>
      </c>
      <c r="H59" s="14" t="n">
        <v>284000</v>
      </c>
      <c r="I59" s="14" t="n">
        <v>56619</v>
      </c>
      <c r="J59" s="16" t="n">
        <v>5.408939530900613</v>
      </c>
      <c r="K59" s="16" t="n">
        <v>6.755792378324373</v>
      </c>
      <c r="L59" s="16" t="n">
        <v>1.34685284742376</v>
      </c>
      <c r="M59" s="16" t="n">
        <v>1.34685284742376</v>
      </c>
      <c r="N59" s="16" t="n">
        <v>8.370000000000001</v>
      </c>
      <c r="O59" s="16" t="n">
        <v>11.03957752943199</v>
      </c>
      <c r="P59" s="14" t="n">
        <v>3002.714285714286</v>
      </c>
      <c r="Q59" s="15" t="n">
        <v>0.1341740366445746</v>
      </c>
      <c r="R59" s="15" t="n">
        <v>0.07011739022486474</v>
      </c>
      <c r="S59" s="16" t="n">
        <v>0.09227286423394698</v>
      </c>
      <c r="T59" s="15" t="n">
        <v>1.735539766155743</v>
      </c>
      <c r="U59" s="16" t="n">
        <v>-0.7826691601371651</v>
      </c>
      <c r="V59" s="15" t="n">
        <v>-10.38234600181954</v>
      </c>
      <c r="W59" s="15" t="n">
        <v>438.948717948718</v>
      </c>
    </row>
    <row r="60">
      <c r="A60" s="12" t="inlineStr">
        <is>
          <t>WEST ZONE RO</t>
        </is>
      </c>
      <c r="B60" s="12" t="inlineStr">
        <is>
          <t>SOUTH ZONE RO</t>
        </is>
      </c>
      <c r="C60" s="12" t="inlineStr">
        <is>
          <t>WEST ZONE RO → SOUTH ZONE RO</t>
        </is>
      </c>
      <c r="D60" s="12" t="inlineStr">
        <is>
          <t>July</t>
        </is>
      </c>
      <c r="E60" s="13" t="n">
        <v>15</v>
      </c>
      <c r="F60" s="14" t="n">
        <v>41640</v>
      </c>
      <c r="G60" s="14" t="n">
        <v>212762</v>
      </c>
      <c r="H60" s="14" t="n">
        <v>299600</v>
      </c>
      <c r="I60" s="14" t="n">
        <v>86838</v>
      </c>
      <c r="J60" s="16" t="n">
        <v>5.109558117195005</v>
      </c>
      <c r="K60" s="16" t="n">
        <v>7.195004803073967</v>
      </c>
      <c r="L60" s="16" t="n">
        <v>2.085446685878963</v>
      </c>
      <c r="M60" s="16" t="n">
        <v>2.085446685878963</v>
      </c>
      <c r="N60" s="16" t="n">
        <v>7.536666666666666</v>
      </c>
      <c r="O60" s="16" t="n">
        <v>13.7852636968766</v>
      </c>
      <c r="P60" s="14" t="n">
        <v>2776</v>
      </c>
      <c r="Q60" s="15" t="n">
        <v>0.1329037272439242</v>
      </c>
      <c r="R60" s="15" t="n">
        <v>0.07396890884285026</v>
      </c>
      <c r="S60" s="16" t="n">
        <v>-0.2993814137056088</v>
      </c>
      <c r="T60" s="15" t="n">
        <v>-5.53493733836881</v>
      </c>
      <c r="U60" s="16" t="n">
        <v>0.4392124247495941</v>
      </c>
      <c r="V60" s="15" t="n">
        <v>6.501271799867408</v>
      </c>
      <c r="W60" s="15" t="n">
        <v>-0.9467624530186973</v>
      </c>
    </row>
    <row r="61">
      <c r="A61" s="12" t="inlineStr">
        <is>
          <t>WEST ZONE RO</t>
        </is>
      </c>
      <c r="B61" s="12" t="inlineStr">
        <is>
          <t>NORTH EAST ZONE RO</t>
        </is>
      </c>
      <c r="C61" s="12" t="inlineStr">
        <is>
          <t>WEST ZONE RO → NORTH EAST ZONE RO</t>
        </is>
      </c>
      <c r="D61" s="12" t="inlineStr">
        <is>
          <t>April</t>
        </is>
      </c>
      <c r="E61" s="13" t="n">
        <v>683</v>
      </c>
      <c r="F61" s="14" t="n">
        <v>355476.6</v>
      </c>
      <c r="G61" s="14" t="n">
        <v>5054065.89</v>
      </c>
      <c r="H61" s="14" t="n">
        <v>5830878.27</v>
      </c>
      <c r="I61" s="14" t="n">
        <v>776812.38</v>
      </c>
      <c r="J61" s="16" t="n">
        <v>14.21771753752568</v>
      </c>
      <c r="K61" s="16" t="n">
        <v>16.40298762281399</v>
      </c>
      <c r="L61" s="16" t="n">
        <v>2.185270085288315</v>
      </c>
      <c r="M61" s="16" t="n">
        <v>2.185270085288316</v>
      </c>
      <c r="N61" s="16" t="n">
        <v>16.0741298833358</v>
      </c>
      <c r="O61" s="16" t="n">
        <v>20.85268805480344</v>
      </c>
      <c r="P61" s="14" t="n">
        <v>520.4635431918008</v>
      </c>
      <c r="Q61" s="15" t="n">
        <v>1.134586097214159</v>
      </c>
      <c r="R61" s="15" t="n">
        <v>1.439598475391811</v>
      </c>
      <c r="S61" s="12" t="n"/>
      <c r="T61" s="12" t="n"/>
      <c r="U61" s="12" t="n"/>
      <c r="V61" s="12" t="n"/>
      <c r="W61" s="12" t="n"/>
    </row>
    <row r="62">
      <c r="A62" s="12" t="inlineStr">
        <is>
          <t>WEST ZONE RO</t>
        </is>
      </c>
      <c r="B62" s="12" t="inlineStr">
        <is>
          <t>NORTH EAST ZONE RO</t>
        </is>
      </c>
      <c r="C62" s="12" t="inlineStr">
        <is>
          <t>WEST ZONE RO → NORTH EAST ZONE RO</t>
        </is>
      </c>
      <c r="D62" s="12" t="inlineStr">
        <is>
          <t>May</t>
        </is>
      </c>
      <c r="E62" s="13" t="n">
        <v>733</v>
      </c>
      <c r="F62" s="14" t="n">
        <v>450864</v>
      </c>
      <c r="G62" s="14" t="n">
        <v>6356306.95</v>
      </c>
      <c r="H62" s="14" t="n">
        <v>7397997.36</v>
      </c>
      <c r="I62" s="14" t="n">
        <v>1041690.41</v>
      </c>
      <c r="J62" s="16" t="n">
        <v>14.09805828365095</v>
      </c>
      <c r="K62" s="16" t="n">
        <v>16.40848983285425</v>
      </c>
      <c r="L62" s="16" t="n">
        <v>2.310431549203308</v>
      </c>
      <c r="M62" s="16" t="n">
        <v>2.310431549203308</v>
      </c>
      <c r="N62" s="16" t="n">
        <v>16.25656054721989</v>
      </c>
      <c r="O62" s="16" t="n">
        <v>21.81088743983684</v>
      </c>
      <c r="P62" s="14" t="n">
        <v>615.094133697135</v>
      </c>
      <c r="Q62" s="15" t="n">
        <v>1.439037129685511</v>
      </c>
      <c r="R62" s="15" t="n">
        <v>1.826507985118448</v>
      </c>
      <c r="S62" s="16" t="n">
        <v>-0.1196592538747296</v>
      </c>
      <c r="T62" s="15" t="n">
        <v>-0.8416207000800641</v>
      </c>
      <c r="U62" s="16" t="n">
        <v>0.005502210040262412</v>
      </c>
      <c r="V62" s="15" t="n">
        <v>0.03354395044845183</v>
      </c>
      <c r="W62" s="15" t="n">
        <v>26.83366500073423</v>
      </c>
    </row>
    <row r="63">
      <c r="A63" s="12" t="inlineStr">
        <is>
          <t>WEST ZONE RO</t>
        </is>
      </c>
      <c r="B63" s="12" t="inlineStr">
        <is>
          <t>NORTH EAST ZONE RO</t>
        </is>
      </c>
      <c r="C63" s="12" t="inlineStr">
        <is>
          <t>WEST ZONE RO → NORTH EAST ZONE RO</t>
        </is>
      </c>
      <c r="D63" s="12" t="inlineStr">
        <is>
          <t>June</t>
        </is>
      </c>
      <c r="E63" s="13" t="n">
        <v>775</v>
      </c>
      <c r="F63" s="14" t="n">
        <v>447872.3</v>
      </c>
      <c r="G63" s="14" t="n">
        <v>6455763.7</v>
      </c>
      <c r="H63" s="14" t="n">
        <v>7789195.92</v>
      </c>
      <c r="I63" s="14" t="n">
        <v>1333432.22</v>
      </c>
      <c r="J63" s="16" t="n">
        <v>14.41429554808368</v>
      </c>
      <c r="K63" s="16" t="n">
        <v>17.39155540541355</v>
      </c>
      <c r="L63" s="16" t="n">
        <v>2.977259857329869</v>
      </c>
      <c r="M63" s="16" t="n">
        <v>2.977259857329868</v>
      </c>
      <c r="N63" s="16" t="n">
        <v>16.36905356369179</v>
      </c>
      <c r="O63" s="16" t="n">
        <v>22.0901193065388</v>
      </c>
      <c r="P63" s="14" t="n">
        <v>577.8997419354838</v>
      </c>
      <c r="Q63" s="15" t="n">
        <v>1.429488424575144</v>
      </c>
      <c r="R63" s="15" t="n">
        <v>1.923091865706212</v>
      </c>
      <c r="S63" s="16" t="n">
        <v>0.316237264432738</v>
      </c>
      <c r="T63" s="15" t="n">
        <v>2.243126380031128</v>
      </c>
      <c r="U63" s="16" t="n">
        <v>0.9830655725592976</v>
      </c>
      <c r="V63" s="15" t="n">
        <v>5.991200790403838</v>
      </c>
      <c r="W63" s="15" t="n">
        <v>-0.6635482096596782</v>
      </c>
    </row>
    <row r="64">
      <c r="A64" s="12" t="inlineStr">
        <is>
          <t>WEST ZONE RO</t>
        </is>
      </c>
      <c r="B64" s="12" t="inlineStr">
        <is>
          <t>NORTH EAST ZONE RO</t>
        </is>
      </c>
      <c r="C64" s="12" t="inlineStr">
        <is>
          <t>WEST ZONE RO → NORTH EAST ZONE RO</t>
        </is>
      </c>
      <c r="D64" s="12" t="inlineStr">
        <is>
          <t>July</t>
        </is>
      </c>
      <c r="E64" s="13" t="n">
        <v>711</v>
      </c>
      <c r="F64" s="14" t="n">
        <v>449076.41</v>
      </c>
      <c r="G64" s="14" t="n">
        <v>6519622.61</v>
      </c>
      <c r="H64" s="14" t="n">
        <v>7939451.94</v>
      </c>
      <c r="I64" s="14" t="n">
        <v>1419829.33</v>
      </c>
      <c r="J64" s="16" t="n">
        <v>14.51784699623835</v>
      </c>
      <c r="K64" s="16" t="n">
        <v>17.67951235737366</v>
      </c>
      <c r="L64" s="16" t="n">
        <v>3.161665361135313</v>
      </c>
      <c r="M64" s="16" t="n">
        <v>3.161665361135313</v>
      </c>
      <c r="N64" s="16" t="n">
        <v>16.66999780901573</v>
      </c>
      <c r="O64" s="16" t="n">
        <v>22.65257521911106</v>
      </c>
      <c r="P64" s="14" t="n">
        <v>631.6123909985935</v>
      </c>
      <c r="Q64" s="15" t="n">
        <v>1.433331621189258</v>
      </c>
      <c r="R64" s="15" t="n">
        <v>1.960188907917392</v>
      </c>
      <c r="S64" s="16" t="n">
        <v>0.1035514481546631</v>
      </c>
      <c r="T64" s="15" t="n">
        <v>0.7183940957033437</v>
      </c>
      <c r="U64" s="16" t="n">
        <v>0.2879569519601084</v>
      </c>
      <c r="V64" s="15" t="n">
        <v>1.655728571985428</v>
      </c>
      <c r="W64" s="15" t="n">
        <v>0.2688511881623369</v>
      </c>
    </row>
    <row r="65">
      <c r="A65" s="12" t="inlineStr">
        <is>
          <t>WEST ZONE RO</t>
        </is>
      </c>
      <c r="B65" s="12" t="inlineStr">
        <is>
          <t>NEPAL ZONE</t>
        </is>
      </c>
      <c r="C65" s="12" t="inlineStr">
        <is>
          <t>WEST ZONE RO → NEPAL ZONE</t>
        </is>
      </c>
      <c r="D65" s="12" t="inlineStr">
        <is>
          <t>April</t>
        </is>
      </c>
      <c r="E65" s="13" t="n">
        <v>1330</v>
      </c>
      <c r="F65" s="14" t="n">
        <v>1191443.46</v>
      </c>
      <c r="G65" s="14" t="n">
        <v>15431835.93</v>
      </c>
      <c r="H65" s="14" t="n">
        <v>19794961.46</v>
      </c>
      <c r="I65" s="14" t="n">
        <v>4363125.53</v>
      </c>
      <c r="J65" s="16" t="n">
        <v>12.95221842083887</v>
      </c>
      <c r="K65" s="16" t="n">
        <v>16.61426842697177</v>
      </c>
      <c r="L65" s="16" t="n">
        <v>3.662050006132897</v>
      </c>
      <c r="M65" s="16" t="n">
        <v>3.662050006132898</v>
      </c>
      <c r="N65" s="16" t="n">
        <v>13.65566976422889</v>
      </c>
      <c r="O65" s="16" t="n">
        <v>23.98980690217124</v>
      </c>
      <c r="P65" s="14" t="n">
        <v>895.8221503759398</v>
      </c>
      <c r="Q65" s="15" t="n">
        <v>3.802768411008582</v>
      </c>
      <c r="R65" s="15" t="n">
        <v>4.887221961890768</v>
      </c>
      <c r="S65" s="12" t="n"/>
      <c r="T65" s="12" t="n"/>
      <c r="U65" s="12" t="n"/>
      <c r="V65" s="12" t="n"/>
      <c r="W65" s="12" t="n"/>
    </row>
    <row r="66">
      <c r="A66" s="12" t="inlineStr">
        <is>
          <t>WEST ZONE RO</t>
        </is>
      </c>
      <c r="B66" s="12" t="inlineStr">
        <is>
          <t>NEPAL ZONE</t>
        </is>
      </c>
      <c r="C66" s="12" t="inlineStr">
        <is>
          <t>WEST ZONE RO → NEPAL ZONE</t>
        </is>
      </c>
      <c r="D66" s="12" t="inlineStr">
        <is>
          <t>May</t>
        </is>
      </c>
      <c r="E66" s="13" t="n">
        <v>1186</v>
      </c>
      <c r="F66" s="14" t="n">
        <v>1119550.92</v>
      </c>
      <c r="G66" s="14" t="n">
        <v>14231894.14</v>
      </c>
      <c r="H66" s="14" t="n">
        <v>18165850.41</v>
      </c>
      <c r="I66" s="14" t="n">
        <v>3933956.27</v>
      </c>
      <c r="J66" s="16" t="n">
        <v>12.71214545560822</v>
      </c>
      <c r="K66" s="16" t="n">
        <v>16.22601534729658</v>
      </c>
      <c r="L66" s="16" t="n">
        <v>3.513869891688357</v>
      </c>
      <c r="M66" s="16" t="n">
        <v>3.513869891688358</v>
      </c>
      <c r="N66" s="16" t="n">
        <v>13.81489647453686</v>
      </c>
      <c r="O66" s="16" t="n">
        <v>25.11778979705377</v>
      </c>
      <c r="P66" s="14" t="n">
        <v>943.972107925801</v>
      </c>
      <c r="Q66" s="15" t="n">
        <v>3.573306678851212</v>
      </c>
      <c r="R66" s="15" t="n">
        <v>4.485007119593272</v>
      </c>
      <c r="S66" s="16" t="n">
        <v>-0.2400729652306524</v>
      </c>
      <c r="T66" s="15" t="n">
        <v>-1.853527769763349</v>
      </c>
      <c r="U66" s="16" t="n">
        <v>-0.3882530796751915</v>
      </c>
      <c r="V66" s="15" t="n">
        <v>-2.336865335851307</v>
      </c>
      <c r="W66" s="15" t="n">
        <v>-6.034070638987774</v>
      </c>
    </row>
    <row r="67">
      <c r="A67" s="12" t="inlineStr">
        <is>
          <t>WEST ZONE RO</t>
        </is>
      </c>
      <c r="B67" s="12" t="inlineStr">
        <is>
          <t>NEPAL ZONE</t>
        </is>
      </c>
      <c r="C67" s="12" t="inlineStr">
        <is>
          <t>WEST ZONE RO → NEPAL ZONE</t>
        </is>
      </c>
      <c r="D67" s="12" t="inlineStr">
        <is>
          <t>June</t>
        </is>
      </c>
      <c r="E67" s="13" t="n">
        <v>1532</v>
      </c>
      <c r="F67" s="14" t="n">
        <v>1376141.09</v>
      </c>
      <c r="G67" s="14" t="n">
        <v>18395581.88</v>
      </c>
      <c r="H67" s="14" t="n">
        <v>24254025.95</v>
      </c>
      <c r="I67" s="14" t="n">
        <v>5858444.07</v>
      </c>
      <c r="J67" s="16" t="n">
        <v>13.36751152456323</v>
      </c>
      <c r="K67" s="16" t="n">
        <v>17.62466517877175</v>
      </c>
      <c r="L67" s="16" t="n">
        <v>4.257153654208523</v>
      </c>
      <c r="M67" s="16" t="n">
        <v>4.257153654208521</v>
      </c>
      <c r="N67" s="16" t="n">
        <v>14.02106122215059</v>
      </c>
      <c r="O67" s="16" t="n">
        <v>25.42535297547888</v>
      </c>
      <c r="P67" s="14" t="n">
        <v>898.2644190600523</v>
      </c>
      <c r="Q67" s="15" t="n">
        <v>4.392273777005682</v>
      </c>
      <c r="R67" s="15" t="n">
        <v>5.988130288944175</v>
      </c>
      <c r="S67" s="16" t="n">
        <v>0.655366068955006</v>
      </c>
      <c r="T67" s="15" t="n">
        <v>5.155432426757499</v>
      </c>
      <c r="U67" s="16" t="n">
        <v>1.398649831475169</v>
      </c>
      <c r="V67" s="15" t="n">
        <v>8.619798524399881</v>
      </c>
      <c r="W67" s="15" t="n">
        <v>22.9190263181598</v>
      </c>
    </row>
    <row r="68">
      <c r="A68" s="12" t="inlineStr">
        <is>
          <t>WEST ZONE RO</t>
        </is>
      </c>
      <c r="B68" s="12" t="inlineStr">
        <is>
          <t>NEPAL ZONE</t>
        </is>
      </c>
      <c r="C68" s="12" t="inlineStr">
        <is>
          <t>WEST ZONE RO → NEPAL ZONE</t>
        </is>
      </c>
      <c r="D68" s="12" t="inlineStr">
        <is>
          <t>July</t>
        </is>
      </c>
      <c r="E68" s="13" t="n">
        <v>1132</v>
      </c>
      <c r="F68" s="14" t="n">
        <v>1120669.11</v>
      </c>
      <c r="G68" s="14" t="n">
        <v>14280112.36</v>
      </c>
      <c r="H68" s="14" t="n">
        <v>18736830.19</v>
      </c>
      <c r="I68" s="14" t="n">
        <v>4456717.83</v>
      </c>
      <c r="J68" s="16" t="n">
        <v>12.74248770897236</v>
      </c>
      <c r="K68" s="16" t="n">
        <v>16.71932421694036</v>
      </c>
      <c r="L68" s="16" t="n">
        <v>3.976836507967994</v>
      </c>
      <c r="M68" s="16" t="n">
        <v>3.976836507967997</v>
      </c>
      <c r="N68" s="16" t="n">
        <v>13.79920536844648</v>
      </c>
      <c r="O68" s="16" t="n">
        <v>24.71506877543382</v>
      </c>
      <c r="P68" s="14" t="n">
        <v>989.9903798586573</v>
      </c>
      <c r="Q68" s="15" t="n">
        <v>3.576875641837929</v>
      </c>
      <c r="R68" s="15" t="n">
        <v>4.625977584539636</v>
      </c>
      <c r="S68" s="16" t="n">
        <v>-0.6250238155908612</v>
      </c>
      <c r="T68" s="15" t="n">
        <v>-4.675693111933064</v>
      </c>
      <c r="U68" s="16" t="n">
        <v>-0.905340961831385</v>
      </c>
      <c r="V68" s="15" t="n">
        <v>-5.136783891485408</v>
      </c>
      <c r="W68" s="15" t="n">
        <v>-18.56437409335695</v>
      </c>
    </row>
    <row r="69">
      <c r="A69" s="12" t="inlineStr">
        <is>
          <t>SOUTH ZONE RO</t>
        </is>
      </c>
      <c r="B69" s="12" t="inlineStr">
        <is>
          <t>NORTH ZONE RO</t>
        </is>
      </c>
      <c r="C69" s="12" t="inlineStr">
        <is>
          <t>SOUTH ZONE RO → NORTH ZONE RO</t>
        </is>
      </c>
      <c r="D69" s="12" t="inlineStr">
        <is>
          <t>April</t>
        </is>
      </c>
      <c r="E69" s="13" t="n">
        <v>57</v>
      </c>
      <c r="F69" s="14" t="n">
        <v>36907.55</v>
      </c>
      <c r="G69" s="14" t="n">
        <v>255282.61</v>
      </c>
      <c r="H69" s="14" t="n">
        <v>317484.44</v>
      </c>
      <c r="I69" s="14" t="n">
        <v>62201.83</v>
      </c>
      <c r="J69" s="16" t="n">
        <v>6.9168126846675</v>
      </c>
      <c r="K69" s="16" t="n">
        <v>8.602154301762106</v>
      </c>
      <c r="L69" s="16" t="n">
        <v>1.685341617094605</v>
      </c>
      <c r="M69" s="16" t="n">
        <v>1.685341617094606</v>
      </c>
      <c r="N69" s="16" t="n">
        <v>7.490350877192983</v>
      </c>
      <c r="O69" s="16" t="n">
        <v>8.51573364382026</v>
      </c>
      <c r="P69" s="14" t="n">
        <v>647.5008771929826</v>
      </c>
      <c r="Q69" s="15" t="n">
        <v>0.1177990143717939</v>
      </c>
      <c r="R69" s="15" t="n">
        <v>0.07838443792184034</v>
      </c>
      <c r="S69" s="12" t="n"/>
      <c r="T69" s="12" t="n"/>
      <c r="U69" s="12" t="n"/>
      <c r="V69" s="12" t="n"/>
      <c r="W69" s="12" t="n"/>
    </row>
    <row r="70">
      <c r="A70" s="12" t="inlineStr">
        <is>
          <t>SOUTH ZONE RO</t>
        </is>
      </c>
      <c r="B70" s="12" t="inlineStr">
        <is>
          <t>NORTH ZONE RO</t>
        </is>
      </c>
      <c r="C70" s="12" t="inlineStr">
        <is>
          <t>SOUTH ZONE RO → NORTH ZONE RO</t>
        </is>
      </c>
      <c r="D70" s="12" t="inlineStr">
        <is>
          <t>May</t>
        </is>
      </c>
      <c r="E70" s="13" t="n">
        <v>19</v>
      </c>
      <c r="F70" s="14" t="n">
        <v>22467</v>
      </c>
      <c r="G70" s="14" t="n">
        <v>181659.4</v>
      </c>
      <c r="H70" s="14" t="n">
        <v>226266.27</v>
      </c>
      <c r="I70" s="14" t="n">
        <v>44606.87</v>
      </c>
      <c r="J70" s="16" t="n">
        <v>8.085610005786265</v>
      </c>
      <c r="K70" s="16" t="n">
        <v>10.07104953932434</v>
      </c>
      <c r="L70" s="16" t="n">
        <v>1.985439533538078</v>
      </c>
      <c r="M70" s="16" t="n">
        <v>1.985439533538079</v>
      </c>
      <c r="N70" s="16" t="n">
        <v>8.946842105263158</v>
      </c>
      <c r="O70" s="16" t="n">
        <v>11.52846781900978</v>
      </c>
      <c r="P70" s="14" t="n">
        <v>1182.473684210526</v>
      </c>
      <c r="Q70" s="15" t="n">
        <v>0.07170864649349774</v>
      </c>
      <c r="R70" s="15" t="n">
        <v>0.05586338150815002</v>
      </c>
      <c r="S70" s="16" t="n">
        <v>1.168797321118765</v>
      </c>
      <c r="T70" s="15" t="n">
        <v>16.89791778964375</v>
      </c>
      <c r="U70" s="16" t="n">
        <v>1.468895237562238</v>
      </c>
      <c r="V70" s="15" t="n">
        <v>17.07589966459149</v>
      </c>
      <c r="W70" s="15" t="n">
        <v>-39.12627633099461</v>
      </c>
    </row>
    <row r="71">
      <c r="A71" s="12" t="inlineStr">
        <is>
          <t>SOUTH ZONE RO</t>
        </is>
      </c>
      <c r="B71" s="12" t="inlineStr">
        <is>
          <t>NORTH ZONE RO</t>
        </is>
      </c>
      <c r="C71" s="12" t="inlineStr">
        <is>
          <t>SOUTH ZONE RO → NORTH ZONE RO</t>
        </is>
      </c>
      <c r="D71" s="12" t="inlineStr">
        <is>
          <t>June</t>
        </is>
      </c>
      <c r="E71" s="13" t="n">
        <v>40</v>
      </c>
      <c r="F71" s="14" t="n">
        <v>49013</v>
      </c>
      <c r="G71" s="14" t="n">
        <v>401555.35</v>
      </c>
      <c r="H71" s="14" t="n">
        <v>550429.6899999999</v>
      </c>
      <c r="I71" s="14" t="n">
        <v>148874.34</v>
      </c>
      <c r="J71" s="16" t="n">
        <v>8.192833533960377</v>
      </c>
      <c r="K71" s="16" t="n">
        <v>11.23027951767898</v>
      </c>
      <c r="L71" s="16" t="n">
        <v>3.037445983718605</v>
      </c>
      <c r="M71" s="16" t="n">
        <v>3.037445983718605</v>
      </c>
      <c r="N71" s="16" t="n">
        <v>8.212999999999999</v>
      </c>
      <c r="O71" s="16" t="n">
        <v>11.33002429584708</v>
      </c>
      <c r="P71" s="14" t="n">
        <v>1225.325</v>
      </c>
      <c r="Q71" s="15" t="n">
        <v>0.1564363684775807</v>
      </c>
      <c r="R71" s="15" t="n">
        <v>0.1358968076235258</v>
      </c>
      <c r="S71" s="16" t="n">
        <v>0.1072235281741118</v>
      </c>
      <c r="T71" s="15" t="n">
        <v>1.326103139990428</v>
      </c>
      <c r="U71" s="16" t="n">
        <v>1.159229978354638</v>
      </c>
      <c r="V71" s="15" t="n">
        <v>11.51051808282942</v>
      </c>
      <c r="W71" s="15" t="n">
        <v>118.1555169804602</v>
      </c>
    </row>
    <row r="72">
      <c r="A72" s="12" t="inlineStr">
        <is>
          <t>SOUTH ZONE RO</t>
        </is>
      </c>
      <c r="B72" s="12" t="inlineStr">
        <is>
          <t>NORTH ZONE RO</t>
        </is>
      </c>
      <c r="C72" s="12" t="inlineStr">
        <is>
          <t>SOUTH ZONE RO → NORTH ZONE RO</t>
        </is>
      </c>
      <c r="D72" s="12" t="inlineStr">
        <is>
          <t>July</t>
        </is>
      </c>
      <c r="E72" s="13" t="n">
        <v>53</v>
      </c>
      <c r="F72" s="14" t="n">
        <v>41581</v>
      </c>
      <c r="G72" s="14" t="n">
        <v>327700.55</v>
      </c>
      <c r="H72" s="14" t="n">
        <v>388773.85</v>
      </c>
      <c r="I72" s="14" t="n">
        <v>61073.3</v>
      </c>
      <c r="J72" s="16" t="n">
        <v>7.881016570068059</v>
      </c>
      <c r="K72" s="16" t="n">
        <v>9.349795579711888</v>
      </c>
      <c r="L72" s="16" t="n">
        <v>1.468779009643828</v>
      </c>
      <c r="M72" s="16" t="n">
        <v>1.468779009643828</v>
      </c>
      <c r="N72" s="16" t="n">
        <v>8.486119643118327</v>
      </c>
      <c r="O72" s="16" t="n">
        <v>12.11297081238881</v>
      </c>
      <c r="P72" s="14" t="n">
        <v>784.5471698113207</v>
      </c>
      <c r="Q72" s="15" t="n">
        <v>0.1327154150463404</v>
      </c>
      <c r="R72" s="15" t="n">
        <v>0.09598523855518673</v>
      </c>
      <c r="S72" s="16" t="n">
        <v>-0.3118169638923174</v>
      </c>
      <c r="T72" s="15" t="n">
        <v>-3.805972165793372</v>
      </c>
      <c r="U72" s="16" t="n">
        <v>-1.880483937967094</v>
      </c>
      <c r="V72" s="15" t="n">
        <v>-16.74476521271612</v>
      </c>
      <c r="W72" s="15" t="n">
        <v>-15.16332401607737</v>
      </c>
    </row>
    <row r="73">
      <c r="A73" s="12" t="inlineStr">
        <is>
          <t>SOUTH ZONE RO</t>
        </is>
      </c>
      <c r="B73" s="12" t="inlineStr">
        <is>
          <t>EAST ZONE RO</t>
        </is>
      </c>
      <c r="C73" s="12" t="inlineStr">
        <is>
          <t>SOUTH ZONE RO → EAST ZONE RO</t>
        </is>
      </c>
      <c r="D73" s="12" t="inlineStr">
        <is>
          <t>April</t>
        </is>
      </c>
      <c r="E73" s="13" t="n">
        <v>192</v>
      </c>
      <c r="F73" s="14" t="n">
        <v>152717.72</v>
      </c>
      <c r="G73" s="14" t="n">
        <v>1587538.09</v>
      </c>
      <c r="H73" s="14" t="n">
        <v>2044513.74</v>
      </c>
      <c r="I73" s="14" t="n">
        <v>456975.65</v>
      </c>
      <c r="J73" s="16" t="n">
        <v>10.39524483471859</v>
      </c>
      <c r="K73" s="16" t="n">
        <v>13.3875344655486</v>
      </c>
      <c r="L73" s="16" t="n">
        <v>2.992289630830005</v>
      </c>
      <c r="M73" s="16" t="n">
        <v>2.992289630830005</v>
      </c>
      <c r="N73" s="16" t="n">
        <v>9.980282164440448</v>
      </c>
      <c r="O73" s="16" t="n">
        <v>17.60784978290064</v>
      </c>
      <c r="P73" s="14" t="n">
        <v>795.4047916666667</v>
      </c>
      <c r="Q73" s="15" t="n">
        <v>0.4874340586982227</v>
      </c>
      <c r="R73" s="15" t="n">
        <v>0.5047745342523861</v>
      </c>
      <c r="S73" s="12" t="n"/>
      <c r="T73" s="12" t="n"/>
      <c r="U73" s="12" t="n"/>
      <c r="V73" s="12" t="n"/>
      <c r="W73" s="12" t="n"/>
    </row>
    <row r="74">
      <c r="A74" s="12" t="inlineStr">
        <is>
          <t>SOUTH ZONE RO</t>
        </is>
      </c>
      <c r="B74" s="12" t="inlineStr">
        <is>
          <t>EAST ZONE RO</t>
        </is>
      </c>
      <c r="C74" s="12" t="inlineStr">
        <is>
          <t>SOUTH ZONE RO → EAST ZONE RO</t>
        </is>
      </c>
      <c r="D74" s="12" t="inlineStr">
        <is>
          <t>May</t>
        </is>
      </c>
      <c r="E74" s="13" t="n">
        <v>156</v>
      </c>
      <c r="F74" s="14" t="n">
        <v>103635.1</v>
      </c>
      <c r="G74" s="14" t="n">
        <v>1118011.6</v>
      </c>
      <c r="H74" s="14" t="n">
        <v>1531499.76</v>
      </c>
      <c r="I74" s="14" t="n">
        <v>413488.16</v>
      </c>
      <c r="J74" s="16" t="n">
        <v>10.78796276551091</v>
      </c>
      <c r="K74" s="16" t="n">
        <v>14.77780944872924</v>
      </c>
      <c r="L74" s="16" t="n">
        <v>3.98984668321833</v>
      </c>
      <c r="M74" s="16" t="n">
        <v>3.989846683218328</v>
      </c>
      <c r="N74" s="16" t="n">
        <v>10.83846063177746</v>
      </c>
      <c r="O74" s="16" t="n">
        <v>19.23077832068231</v>
      </c>
      <c r="P74" s="14" t="n">
        <v>664.3275641025641</v>
      </c>
      <c r="Q74" s="15" t="n">
        <v>0.3307754818274931</v>
      </c>
      <c r="R74" s="15" t="n">
        <v>0.3781153743000236</v>
      </c>
      <c r="S74" s="16" t="n">
        <v>0.3927179307923225</v>
      </c>
      <c r="T74" s="15" t="n">
        <v>3.777861291738914</v>
      </c>
      <c r="U74" s="16" t="n">
        <v>1.390274983180646</v>
      </c>
      <c r="V74" s="15" t="n">
        <v>10.38484708859851</v>
      </c>
      <c r="W74" s="15" t="n">
        <v>-32.13944000735474</v>
      </c>
    </row>
    <row r="75">
      <c r="A75" s="12" t="inlineStr">
        <is>
          <t>SOUTH ZONE RO</t>
        </is>
      </c>
      <c r="B75" s="12" t="inlineStr">
        <is>
          <t>EAST ZONE RO</t>
        </is>
      </c>
      <c r="C75" s="12" t="inlineStr">
        <is>
          <t>SOUTH ZONE RO → EAST ZONE RO</t>
        </is>
      </c>
      <c r="D75" s="12" t="inlineStr">
        <is>
          <t>June</t>
        </is>
      </c>
      <c r="E75" s="13" t="n">
        <v>197</v>
      </c>
      <c r="F75" s="14" t="n">
        <v>106142.95</v>
      </c>
      <c r="G75" s="14" t="n">
        <v>1315663.88</v>
      </c>
      <c r="H75" s="14" t="n">
        <v>1848844.58</v>
      </c>
      <c r="I75" s="14" t="n">
        <v>533180.7</v>
      </c>
      <c r="J75" s="16" t="n">
        <v>12.39520740661532</v>
      </c>
      <c r="K75" s="16" t="n">
        <v>17.41843975506616</v>
      </c>
      <c r="L75" s="16" t="n">
        <v>5.023232348450839</v>
      </c>
      <c r="M75" s="16" t="n">
        <v>5.02323234845084</v>
      </c>
      <c r="N75" s="16" t="n">
        <v>11.41569534850731</v>
      </c>
      <c r="O75" s="16" t="n">
        <v>19.37611902854792</v>
      </c>
      <c r="P75" s="14" t="n">
        <v>538.7967005076142</v>
      </c>
      <c r="Q75" s="15" t="n">
        <v>0.3387798673310636</v>
      </c>
      <c r="R75" s="15" t="n">
        <v>0.4564653411302329</v>
      </c>
      <c r="S75" s="16" t="n">
        <v>1.60724464110441</v>
      </c>
      <c r="T75" s="15" t="n">
        <v>14.89850007865031</v>
      </c>
      <c r="U75" s="16" t="n">
        <v>2.640630306336922</v>
      </c>
      <c r="V75" s="15" t="n">
        <v>17.86888858933008</v>
      </c>
      <c r="W75" s="15" t="n">
        <v>2.419884768770418</v>
      </c>
    </row>
    <row r="76">
      <c r="A76" s="12" t="inlineStr">
        <is>
          <t>SOUTH ZONE RO</t>
        </is>
      </c>
      <c r="B76" s="12" t="inlineStr">
        <is>
          <t>EAST ZONE RO</t>
        </is>
      </c>
      <c r="C76" s="12" t="inlineStr">
        <is>
          <t>SOUTH ZONE RO → EAST ZONE RO</t>
        </is>
      </c>
      <c r="D76" s="12" t="inlineStr">
        <is>
          <t>July</t>
        </is>
      </c>
      <c r="E76" s="13" t="n">
        <v>179</v>
      </c>
      <c r="F76" s="14" t="n">
        <v>112331</v>
      </c>
      <c r="G76" s="14" t="n">
        <v>1070013.8</v>
      </c>
      <c r="H76" s="14" t="n">
        <v>1443164.86</v>
      </c>
      <c r="I76" s="14" t="n">
        <v>373151.06</v>
      </c>
      <c r="J76" s="16" t="n">
        <v>9.525543260542504</v>
      </c>
      <c r="K76" s="16" t="n">
        <v>12.84743178641693</v>
      </c>
      <c r="L76" s="16" t="n">
        <v>3.321888525874425</v>
      </c>
      <c r="M76" s="16" t="n">
        <v>3.321888525874426</v>
      </c>
      <c r="N76" s="16" t="n">
        <v>9.739919305394523</v>
      </c>
      <c r="O76" s="16" t="n">
        <v>16.09661727930723</v>
      </c>
      <c r="P76" s="14" t="n">
        <v>627.5474860335196</v>
      </c>
      <c r="Q76" s="15" t="n">
        <v>0.3585304655388389</v>
      </c>
      <c r="R76" s="15" t="n">
        <v>0.3563061748149024</v>
      </c>
      <c r="S76" s="16" t="n">
        <v>-2.86966414607282</v>
      </c>
      <c r="T76" s="15" t="n">
        <v>-23.15140079496596</v>
      </c>
      <c r="U76" s="16" t="n">
        <v>-4.571007968649234</v>
      </c>
      <c r="V76" s="15" t="n">
        <v>-26.24235025022694</v>
      </c>
      <c r="W76" s="15" t="n">
        <v>5.829920875573934</v>
      </c>
    </row>
    <row r="77">
      <c r="A77" s="12" t="inlineStr">
        <is>
          <t>SOUTH ZONE RO</t>
        </is>
      </c>
      <c r="B77" s="12" t="inlineStr">
        <is>
          <t>WEST ZONE RO</t>
        </is>
      </c>
      <c r="C77" s="12" t="inlineStr">
        <is>
          <t>SOUTH ZONE RO → WEST ZONE RO</t>
        </is>
      </c>
      <c r="D77" s="12" t="inlineStr">
        <is>
          <t>April</t>
        </is>
      </c>
      <c r="E77" s="13" t="n">
        <v>4</v>
      </c>
      <c r="F77" s="14" t="n">
        <v>9000</v>
      </c>
      <c r="G77" s="14" t="n">
        <v>50400</v>
      </c>
      <c r="H77" s="14" t="n">
        <v>57600.4</v>
      </c>
      <c r="I77" s="14" t="n">
        <v>7200.4</v>
      </c>
      <c r="J77" s="16" t="n">
        <v>5.6</v>
      </c>
      <c r="K77" s="16" t="n">
        <v>6.400044444444444</v>
      </c>
      <c r="L77" s="16" t="n">
        <v>0.8000444444444444</v>
      </c>
      <c r="M77" s="16" t="n">
        <v>0.8000444444444446</v>
      </c>
      <c r="N77" s="16" t="n">
        <v>5.2</v>
      </c>
      <c r="O77" s="16" t="n">
        <v>6.104792259453575</v>
      </c>
      <c r="P77" s="14" t="n">
        <v>2250</v>
      </c>
      <c r="Q77" s="15" t="n">
        <v>0.02872558946194328</v>
      </c>
      <c r="R77" s="15" t="n">
        <v>0.0142210905771419</v>
      </c>
      <c r="S77" s="12" t="n"/>
      <c r="T77" s="12" t="n"/>
      <c r="U77" s="12" t="n"/>
      <c r="V77" s="12" t="n"/>
      <c r="W77" s="12" t="n"/>
    </row>
    <row r="78">
      <c r="A78" s="12" t="inlineStr">
        <is>
          <t>SOUTH ZONE RO</t>
        </is>
      </c>
      <c r="B78" s="12" t="inlineStr">
        <is>
          <t>WEST ZONE RO</t>
        </is>
      </c>
      <c r="C78" s="12" t="inlineStr">
        <is>
          <t>SOUTH ZONE RO → WEST ZONE RO</t>
        </is>
      </c>
      <c r="D78" s="12" t="inlineStr">
        <is>
          <t>May</t>
        </is>
      </c>
      <c r="E78" s="13" t="n">
        <v>2</v>
      </c>
      <c r="F78" s="14" t="n">
        <v>6000</v>
      </c>
      <c r="G78" s="14" t="n">
        <v>38000</v>
      </c>
      <c r="H78" s="14" t="n">
        <v>56772</v>
      </c>
      <c r="I78" s="14" t="n">
        <v>18772</v>
      </c>
      <c r="J78" s="16" t="n">
        <v>6.333333333333333</v>
      </c>
      <c r="K78" s="16" t="n">
        <v>9.462</v>
      </c>
      <c r="L78" s="16" t="n">
        <v>3.128666666666667</v>
      </c>
      <c r="M78" s="16" t="n">
        <v>3.128666666666667</v>
      </c>
      <c r="N78" s="16" t="n">
        <v>6.25</v>
      </c>
      <c r="O78" s="16" t="n">
        <v>10.471</v>
      </c>
      <c r="P78" s="14" t="n">
        <v>3000</v>
      </c>
      <c r="Q78" s="15" t="n">
        <v>0.01915039297462885</v>
      </c>
      <c r="R78" s="15" t="n">
        <v>0.0140165650628381</v>
      </c>
      <c r="S78" s="16" t="n">
        <v>0.7333333333333334</v>
      </c>
      <c r="T78" s="15" t="n">
        <v>13.0952380952381</v>
      </c>
      <c r="U78" s="16" t="n">
        <v>3.061955555555556</v>
      </c>
      <c r="V78" s="15" t="n">
        <v>47.84272331442143</v>
      </c>
      <c r="W78" s="15" t="n">
        <v>-33.33333333333334</v>
      </c>
    </row>
    <row r="79">
      <c r="A79" s="12" t="inlineStr">
        <is>
          <t>SOUTH ZONE RO</t>
        </is>
      </c>
      <c r="B79" s="12" t="inlineStr">
        <is>
          <t>WEST ZONE RO</t>
        </is>
      </c>
      <c r="C79" s="12" t="inlineStr">
        <is>
          <t>SOUTH ZONE RO → WEST ZONE RO</t>
        </is>
      </c>
      <c r="D79" s="12" t="inlineStr">
        <is>
          <t>June</t>
        </is>
      </c>
      <c r="E79" s="13" t="n">
        <v>1</v>
      </c>
      <c r="F79" s="14" t="n">
        <v>800</v>
      </c>
      <c r="G79" s="14" t="n">
        <v>2544</v>
      </c>
      <c r="H79" s="14" t="n">
        <v>3100</v>
      </c>
      <c r="I79" s="14" t="n">
        <v>556</v>
      </c>
      <c r="J79" s="16" t="n">
        <v>3.18</v>
      </c>
      <c r="K79" s="16" t="n">
        <v>3.875</v>
      </c>
      <c r="L79" s="16" t="n">
        <v>0.695</v>
      </c>
      <c r="M79" s="16" t="n">
        <v>0.6949999999999998</v>
      </c>
      <c r="N79" s="16" t="n">
        <v>3.18</v>
      </c>
      <c r="O79" s="16" t="n">
        <v>3.875</v>
      </c>
      <c r="P79" s="14" t="n">
        <v>800</v>
      </c>
      <c r="Q79" s="15" t="n">
        <v>0.002553385729950514</v>
      </c>
      <c r="R79" s="15" t="n">
        <v>0.0007653658792150729</v>
      </c>
      <c r="S79" s="16" t="n">
        <v>-3.153333333333333</v>
      </c>
      <c r="T79" s="15" t="n">
        <v>-49.78947368421053</v>
      </c>
      <c r="U79" s="16" t="n">
        <v>-5.587</v>
      </c>
      <c r="V79" s="15" t="n">
        <v>-59.04671316846332</v>
      </c>
      <c r="W79" s="15" t="n">
        <v>-86.66666666666667</v>
      </c>
    </row>
    <row r="80">
      <c r="A80" s="12" t="inlineStr">
        <is>
          <t>SOUTH ZONE RO</t>
        </is>
      </c>
      <c r="B80" s="12" t="inlineStr">
        <is>
          <t>WEST ZONE RO</t>
        </is>
      </c>
      <c r="C80" s="12" t="inlineStr">
        <is>
          <t>SOUTH ZONE RO → WEST ZONE RO</t>
        </is>
      </c>
      <c r="D80" s="12" t="inlineStr">
        <is>
          <t>July</t>
        </is>
      </c>
      <c r="E80" s="13" t="n">
        <v>7</v>
      </c>
      <c r="F80" s="14" t="n">
        <v>10921</v>
      </c>
      <c r="G80" s="14" t="n">
        <v>68866.89</v>
      </c>
      <c r="H80" s="14" t="n">
        <v>95798.29000000001</v>
      </c>
      <c r="I80" s="14" t="n">
        <v>26931.4</v>
      </c>
      <c r="J80" s="16" t="n">
        <v>6.305914293562861</v>
      </c>
      <c r="K80" s="16" t="n">
        <v>8.771933888838019</v>
      </c>
      <c r="L80" s="16" t="n">
        <v>2.466019595275158</v>
      </c>
      <c r="M80" s="16" t="n">
        <v>2.466019595275158</v>
      </c>
      <c r="N80" s="16" t="n">
        <v>8.237142857142857</v>
      </c>
      <c r="O80" s="16" t="n">
        <v>15.12517663918146</v>
      </c>
      <c r="P80" s="14" t="n">
        <v>1560.142857142857</v>
      </c>
      <c r="Q80" s="15" t="n">
        <v>0.03485690694598695</v>
      </c>
      <c r="R80" s="15" t="n">
        <v>0.0236518524042421</v>
      </c>
      <c r="S80" s="16" t="n">
        <v>3.125914293562861</v>
      </c>
      <c r="T80" s="15" t="n">
        <v>98.29919162147358</v>
      </c>
      <c r="U80" s="16" t="n">
        <v>4.896933888838019</v>
      </c>
      <c r="V80" s="15" t="n">
        <v>126.3724874538844</v>
      </c>
      <c r="W80" s="15" t="n">
        <v>1265.125</v>
      </c>
    </row>
    <row r="81">
      <c r="A81" s="12" t="inlineStr">
        <is>
          <t>SOUTH ZONE RO</t>
        </is>
      </c>
      <c r="B81" s="12" t="inlineStr">
        <is>
          <t>SOUTH ZONE RO</t>
        </is>
      </c>
      <c r="C81" s="12" t="inlineStr">
        <is>
          <t>SOUTH ZONE RO → SOUTH ZONE RO</t>
        </is>
      </c>
      <c r="D81" s="12" t="inlineStr">
        <is>
          <t>April</t>
        </is>
      </c>
      <c r="E81" s="13" t="n">
        <v>2</v>
      </c>
      <c r="F81" s="14" t="n">
        <v>240</v>
      </c>
      <c r="G81" s="14" t="n">
        <v>1130.4</v>
      </c>
      <c r="H81" s="14" t="n">
        <v>1845.44</v>
      </c>
      <c r="I81" s="14" t="n">
        <v>715.0400000000001</v>
      </c>
      <c r="J81" s="16" t="n">
        <v>4.71</v>
      </c>
      <c r="K81" s="16" t="n">
        <v>7.689333333333334</v>
      </c>
      <c r="L81" s="16" t="n">
        <v>2.979333333333334</v>
      </c>
      <c r="M81" s="16" t="n">
        <v>2.979333333333334</v>
      </c>
      <c r="N81" s="16" t="n">
        <v>4.71</v>
      </c>
      <c r="O81" s="16" t="n">
        <v>9.351526315789474</v>
      </c>
      <c r="P81" s="14" t="n">
        <v>120</v>
      </c>
      <c r="Q81" s="15" t="n">
        <v>0.0007660157189851542</v>
      </c>
      <c r="R81" s="15" t="n">
        <v>0.0004556247768189239</v>
      </c>
      <c r="S81" s="12" t="n"/>
      <c r="T81" s="12" t="n"/>
      <c r="U81" s="12" t="n"/>
      <c r="V81" s="12" t="n"/>
      <c r="W81" s="12" t="n"/>
    </row>
    <row r="82">
      <c r="A82" s="12" t="inlineStr">
        <is>
          <t>SOUTH ZONE RO</t>
        </is>
      </c>
      <c r="B82" s="12" t="inlineStr">
        <is>
          <t>SOUTH ZONE RO</t>
        </is>
      </c>
      <c r="C82" s="12" t="inlineStr">
        <is>
          <t>SOUTH ZONE RO → SOUTH ZONE RO</t>
        </is>
      </c>
      <c r="D82" s="12" t="inlineStr">
        <is>
          <t>May</t>
        </is>
      </c>
      <c r="E82" s="13" t="n">
        <v>9</v>
      </c>
      <c r="F82" s="14" t="n">
        <v>1796</v>
      </c>
      <c r="G82" s="14" t="n">
        <v>11980</v>
      </c>
      <c r="H82" s="14" t="n">
        <v>16091.46</v>
      </c>
      <c r="I82" s="14" t="n">
        <v>4111.46</v>
      </c>
      <c r="J82" s="16" t="n">
        <v>6.670378619153674</v>
      </c>
      <c r="K82" s="16" t="n">
        <v>8.959610244988864</v>
      </c>
      <c r="L82" s="16" t="n">
        <v>2.289231625835189</v>
      </c>
      <c r="M82" s="16" t="n">
        <v>2.28923162583519</v>
      </c>
      <c r="N82" s="16" t="n">
        <v>8.333333333333334</v>
      </c>
      <c r="O82" s="16" t="n">
        <v>12.54258455625742</v>
      </c>
      <c r="P82" s="14" t="n">
        <v>199.5555555555555</v>
      </c>
      <c r="Q82" s="15" t="n">
        <v>0.005732350963738904</v>
      </c>
      <c r="R82" s="15" t="n">
        <v>0.003972856267985218</v>
      </c>
      <c r="S82" s="16" t="n">
        <v>1.960378619153675</v>
      </c>
      <c r="T82" s="15" t="n">
        <v>41.62162673362366</v>
      </c>
      <c r="U82" s="16" t="n">
        <v>1.270276911655531</v>
      </c>
      <c r="V82" s="15" t="n">
        <v>16.51998758005285</v>
      </c>
      <c r="W82" s="15" t="n">
        <v>648.3333333333334</v>
      </c>
    </row>
    <row r="83">
      <c r="A83" s="12" t="inlineStr">
        <is>
          <t>SOUTH ZONE RO</t>
        </is>
      </c>
      <c r="B83" s="12" t="inlineStr">
        <is>
          <t>SOUTH ZONE RO</t>
        </is>
      </c>
      <c r="C83" s="12" t="inlineStr">
        <is>
          <t>SOUTH ZONE RO → SOUTH ZONE RO</t>
        </is>
      </c>
      <c r="D83" s="12" t="inlineStr">
        <is>
          <t>June</t>
        </is>
      </c>
      <c r="E83" s="13" t="n">
        <v>3</v>
      </c>
      <c r="F83" s="14" t="n">
        <v>5600</v>
      </c>
      <c r="G83" s="14" t="n">
        <v>22910</v>
      </c>
      <c r="H83" s="14" t="n">
        <v>28499.75</v>
      </c>
      <c r="I83" s="14" t="n">
        <v>5589.75</v>
      </c>
      <c r="J83" s="16" t="n">
        <v>4.091071428571428</v>
      </c>
      <c r="K83" s="16" t="n">
        <v>5.089241071428572</v>
      </c>
      <c r="L83" s="16" t="n">
        <v>0.9981696428571428</v>
      </c>
      <c r="M83" s="16" t="n">
        <v>0.9981696428571434</v>
      </c>
      <c r="N83" s="16" t="n">
        <v>7.93</v>
      </c>
      <c r="O83" s="16" t="n">
        <v>10.19442361111111</v>
      </c>
      <c r="P83" s="14" t="n">
        <v>1866.666666666667</v>
      </c>
      <c r="Q83" s="15" t="n">
        <v>0.0178737001096536</v>
      </c>
      <c r="R83" s="15" t="n">
        <v>0.007036366521341862</v>
      </c>
      <c r="S83" s="16" t="n">
        <v>-2.579307190582246</v>
      </c>
      <c r="T83" s="15" t="n">
        <v>-38.66807774862867</v>
      </c>
      <c r="U83" s="16" t="n">
        <v>-3.870369173560293</v>
      </c>
      <c r="V83" s="15" t="n">
        <v>-43.19796361370743</v>
      </c>
      <c r="W83" s="15" t="n">
        <v>211.804008908686</v>
      </c>
    </row>
    <row r="84">
      <c r="A84" s="12" t="inlineStr">
        <is>
          <t>SOUTH ZONE RO</t>
        </is>
      </c>
      <c r="B84" s="12" t="inlineStr">
        <is>
          <t>SOUTH ZONE RO</t>
        </is>
      </c>
      <c r="C84" s="12" t="inlineStr">
        <is>
          <t>SOUTH ZONE RO → SOUTH ZONE RO</t>
        </is>
      </c>
      <c r="D84" s="12" t="inlineStr">
        <is>
          <t>July</t>
        </is>
      </c>
      <c r="E84" s="13" t="n">
        <v>8</v>
      </c>
      <c r="F84" s="14" t="n">
        <v>9882</v>
      </c>
      <c r="G84" s="14" t="n">
        <v>60158</v>
      </c>
      <c r="H84" s="14" t="n">
        <v>82960.98</v>
      </c>
      <c r="I84" s="14" t="n">
        <v>22802.98</v>
      </c>
      <c r="J84" s="16" t="n">
        <v>6.087634082169601</v>
      </c>
      <c r="K84" s="16" t="n">
        <v>8.395160898603521</v>
      </c>
      <c r="L84" s="16" t="n">
        <v>2.30752681643392</v>
      </c>
      <c r="M84" s="16" t="n">
        <v>2.30752681643392</v>
      </c>
      <c r="N84" s="16" t="n">
        <v>11.18625</v>
      </c>
      <c r="O84" s="16" t="n">
        <v>17.004639050136</v>
      </c>
      <c r="P84" s="14" t="n">
        <v>1235.25</v>
      </c>
      <c r="Q84" s="15" t="n">
        <v>0.03154069722921372</v>
      </c>
      <c r="R84" s="15" t="n">
        <v>0.02048242045104648</v>
      </c>
      <c r="S84" s="16" t="n">
        <v>1.996562653598173</v>
      </c>
      <c r="T84" s="15" t="n">
        <v>48.80292824159655</v>
      </c>
      <c r="U84" s="16" t="n">
        <v>3.305919827174949</v>
      </c>
      <c r="V84" s="15" t="n">
        <v>64.95899449005593</v>
      </c>
      <c r="W84" s="15" t="n">
        <v>76.46428571428571</v>
      </c>
    </row>
    <row r="85">
      <c r="A85" s="12" t="inlineStr">
        <is>
          <t>SOUTH ZONE RO</t>
        </is>
      </c>
      <c r="B85" s="12" t="inlineStr">
        <is>
          <t>NORTH EAST ZONE RO</t>
        </is>
      </c>
      <c r="C85" s="12" t="inlineStr">
        <is>
          <t>SOUTH ZONE RO → NORTH EAST ZONE RO</t>
        </is>
      </c>
      <c r="D85" s="12" t="inlineStr">
        <is>
          <t>April</t>
        </is>
      </c>
      <c r="E85" s="13" t="n">
        <v>239</v>
      </c>
      <c r="F85" s="14" t="n">
        <v>155455.6</v>
      </c>
      <c r="G85" s="14" t="n">
        <v>2307640.66</v>
      </c>
      <c r="H85" s="14" t="n">
        <v>2665878.87</v>
      </c>
      <c r="I85" s="14" t="n">
        <v>358238.21</v>
      </c>
      <c r="J85" s="16" t="n">
        <v>14.84437138321167</v>
      </c>
      <c r="K85" s="16" t="n">
        <v>17.14881207238594</v>
      </c>
      <c r="L85" s="16" t="n">
        <v>2.304440689174272</v>
      </c>
      <c r="M85" s="16" t="n">
        <v>2.304440689174271</v>
      </c>
      <c r="N85" s="16" t="n">
        <v>15.21206806037541</v>
      </c>
      <c r="O85" s="16" t="n">
        <v>17.87794492482504</v>
      </c>
      <c r="P85" s="14" t="n">
        <v>650.4418410041841</v>
      </c>
      <c r="Q85" s="15" t="n">
        <v>0.4961726383511189</v>
      </c>
      <c r="R85" s="15" t="n">
        <v>0.6581847500704628</v>
      </c>
      <c r="S85" s="12" t="n"/>
      <c r="T85" s="12" t="n"/>
      <c r="U85" s="12" t="n"/>
      <c r="V85" s="12" t="n"/>
      <c r="W85" s="12" t="n"/>
    </row>
    <row r="86">
      <c r="A86" s="12" t="inlineStr">
        <is>
          <t>SOUTH ZONE RO</t>
        </is>
      </c>
      <c r="B86" s="12" t="inlineStr">
        <is>
          <t>NORTH EAST ZONE RO</t>
        </is>
      </c>
      <c r="C86" s="12" t="inlineStr">
        <is>
          <t>SOUTH ZONE RO → NORTH EAST ZONE RO</t>
        </is>
      </c>
      <c r="D86" s="12" t="inlineStr">
        <is>
          <t>May</t>
        </is>
      </c>
      <c r="E86" s="13" t="n">
        <v>177</v>
      </c>
      <c r="F86" s="14" t="n">
        <v>100113</v>
      </c>
      <c r="G86" s="14" t="n">
        <v>1467877.4</v>
      </c>
      <c r="H86" s="14" t="n">
        <v>1744673.06</v>
      </c>
      <c r="I86" s="14" t="n">
        <v>276795.66</v>
      </c>
      <c r="J86" s="16" t="n">
        <v>14.66220570755047</v>
      </c>
      <c r="K86" s="16" t="n">
        <v>17.42703804700688</v>
      </c>
      <c r="L86" s="16" t="n">
        <v>2.764832339456414</v>
      </c>
      <c r="M86" s="16" t="n">
        <v>2.764832339456415</v>
      </c>
      <c r="N86" s="16" t="n">
        <v>15.65680591519516</v>
      </c>
      <c r="O86" s="16" t="n">
        <v>19.457504554481</v>
      </c>
      <c r="P86" s="14" t="n">
        <v>565.6101694915254</v>
      </c>
      <c r="Q86" s="15" t="n">
        <v>0.3195338819781697</v>
      </c>
      <c r="R86" s="15" t="n">
        <v>0.4307462033902424</v>
      </c>
      <c r="S86" s="16" t="n">
        <v>-0.1821656756612029</v>
      </c>
      <c r="T86" s="15" t="n">
        <v>-1.22717002262032</v>
      </c>
      <c r="U86" s="16" t="n">
        <v>0.2782259746209412</v>
      </c>
      <c r="V86" s="15" t="n">
        <v>1.622421270036294</v>
      </c>
      <c r="W86" s="15" t="n">
        <v>-35.60026142512718</v>
      </c>
    </row>
    <row r="87">
      <c r="A87" s="12" t="inlineStr">
        <is>
          <t>SOUTH ZONE RO</t>
        </is>
      </c>
      <c r="B87" s="12" t="inlineStr">
        <is>
          <t>NORTH EAST ZONE RO</t>
        </is>
      </c>
      <c r="C87" s="12" t="inlineStr">
        <is>
          <t>SOUTH ZONE RO → NORTH EAST ZONE RO</t>
        </is>
      </c>
      <c r="D87" s="12" t="inlineStr">
        <is>
          <t>June</t>
        </is>
      </c>
      <c r="E87" s="13" t="n">
        <v>193</v>
      </c>
      <c r="F87" s="14" t="n">
        <v>109019</v>
      </c>
      <c r="G87" s="14" t="n">
        <v>1584405.55</v>
      </c>
      <c r="H87" s="14" t="n">
        <v>1900635.84</v>
      </c>
      <c r="I87" s="14" t="n">
        <v>316230.29</v>
      </c>
      <c r="J87" s="16" t="n">
        <v>14.53329740687403</v>
      </c>
      <c r="K87" s="16" t="n">
        <v>17.4339871031655</v>
      </c>
      <c r="L87" s="16" t="n">
        <v>2.900689696291472</v>
      </c>
      <c r="M87" s="16" t="n">
        <v>2.900689696291471</v>
      </c>
      <c r="N87" s="16" t="n">
        <v>15.1352894760045</v>
      </c>
      <c r="O87" s="16" t="n">
        <v>18.94993130467646</v>
      </c>
      <c r="P87" s="14" t="n">
        <v>564.8652849740932</v>
      </c>
      <c r="Q87" s="15" t="n">
        <v>0.3479594486168439</v>
      </c>
      <c r="R87" s="15" t="n">
        <v>0.4692522002417027</v>
      </c>
      <c r="S87" s="16" t="n">
        <v>-0.128908300676434</v>
      </c>
      <c r="T87" s="15" t="n">
        <v>-0.8791876423480488</v>
      </c>
      <c r="U87" s="16" t="n">
        <v>0.006949056158621403</v>
      </c>
      <c r="V87" s="15" t="n">
        <v>0.03987514194826076</v>
      </c>
      <c r="W87" s="15" t="n">
        <v>8.895947579235465</v>
      </c>
    </row>
    <row r="88">
      <c r="A88" s="12" t="inlineStr">
        <is>
          <t>SOUTH ZONE RO</t>
        </is>
      </c>
      <c r="B88" s="12" t="inlineStr">
        <is>
          <t>NORTH EAST ZONE RO</t>
        </is>
      </c>
      <c r="C88" s="12" t="inlineStr">
        <is>
          <t>SOUTH ZONE RO → NORTH EAST ZONE RO</t>
        </is>
      </c>
      <c r="D88" s="12" t="inlineStr">
        <is>
          <t>July</t>
        </is>
      </c>
      <c r="E88" s="13" t="n">
        <v>241</v>
      </c>
      <c r="F88" s="14" t="n">
        <v>123855</v>
      </c>
      <c r="G88" s="14" t="n">
        <v>1912422.1</v>
      </c>
      <c r="H88" s="14" t="n">
        <v>2306306.65</v>
      </c>
      <c r="I88" s="14" t="n">
        <v>393884.55</v>
      </c>
      <c r="J88" s="16" t="n">
        <v>15.44081466230673</v>
      </c>
      <c r="K88" s="16" t="n">
        <v>18.62102175931533</v>
      </c>
      <c r="L88" s="16" t="n">
        <v>3.180207097008599</v>
      </c>
      <c r="M88" s="16" t="n">
        <v>3.180207097008596</v>
      </c>
      <c r="N88" s="16" t="n">
        <v>15.71502192986436</v>
      </c>
      <c r="O88" s="16" t="n">
        <v>20.4073032064376</v>
      </c>
      <c r="P88" s="14" t="n">
        <v>513.9211618257261</v>
      </c>
      <c r="Q88" s="15" t="n">
        <v>0.3953119869787761</v>
      </c>
      <c r="R88" s="15" t="n">
        <v>0.5694091667473611</v>
      </c>
      <c r="S88" s="16" t="n">
        <v>0.9075172554326976</v>
      </c>
      <c r="T88" s="15" t="n">
        <v>6.244400221270195</v>
      </c>
      <c r="U88" s="16" t="n">
        <v>1.187034656149823</v>
      </c>
      <c r="V88" s="15" t="n">
        <v>6.808738868083092</v>
      </c>
      <c r="W88" s="15" t="n">
        <v>13.60863702657335</v>
      </c>
    </row>
    <row r="89">
      <c r="A89" s="12" t="inlineStr">
        <is>
          <t>SOUTH ZONE RO</t>
        </is>
      </c>
      <c r="B89" s="12" t="inlineStr">
        <is>
          <t>NEPAL ZONE</t>
        </is>
      </c>
      <c r="C89" s="12" t="inlineStr">
        <is>
          <t>SOUTH ZONE RO → NEPAL ZONE</t>
        </is>
      </c>
      <c r="D89" s="12" t="inlineStr">
        <is>
          <t>April</t>
        </is>
      </c>
      <c r="E89" s="13" t="n">
        <v>245</v>
      </c>
      <c r="F89" s="14" t="n">
        <v>281472.59</v>
      </c>
      <c r="G89" s="14" t="n">
        <v>4256743.86</v>
      </c>
      <c r="H89" s="14" t="n">
        <v>5553778.22</v>
      </c>
      <c r="I89" s="14" t="n">
        <v>1297034.36</v>
      </c>
      <c r="J89" s="16" t="n">
        <v>15.12312037204049</v>
      </c>
      <c r="K89" s="16" t="n">
        <v>19.73115115756031</v>
      </c>
      <c r="L89" s="16" t="n">
        <v>4.608030785519825</v>
      </c>
      <c r="M89" s="16" t="n">
        <v>4.608030785519823</v>
      </c>
      <c r="N89" s="16" t="n">
        <v>16.4475851712354</v>
      </c>
      <c r="O89" s="16" t="n">
        <v>31.86413363232776</v>
      </c>
      <c r="P89" s="14" t="n">
        <v>1148.867714285714</v>
      </c>
      <c r="Q89" s="15" t="n">
        <v>0.8983851183477647</v>
      </c>
      <c r="R89" s="15" t="n">
        <v>1.371184629134136</v>
      </c>
      <c r="S89" s="12" t="n"/>
      <c r="T89" s="12" t="n"/>
      <c r="U89" s="12" t="n"/>
      <c r="V89" s="12" t="n"/>
      <c r="W89" s="12" t="n"/>
    </row>
    <row r="90">
      <c r="A90" s="12" t="inlineStr">
        <is>
          <t>SOUTH ZONE RO</t>
        </is>
      </c>
      <c r="B90" s="12" t="inlineStr">
        <is>
          <t>NEPAL ZONE</t>
        </is>
      </c>
      <c r="C90" s="12" t="inlineStr">
        <is>
          <t>SOUTH ZONE RO → NEPAL ZONE</t>
        </is>
      </c>
      <c r="D90" s="12" t="inlineStr">
        <is>
          <t>May</t>
        </is>
      </c>
      <c r="E90" s="13" t="n">
        <v>294</v>
      </c>
      <c r="F90" s="14" t="n">
        <v>311131.64</v>
      </c>
      <c r="G90" s="14" t="n">
        <v>4895631.25</v>
      </c>
      <c r="H90" s="14" t="n">
        <v>6489126.23</v>
      </c>
      <c r="I90" s="14" t="n">
        <v>1593494.98</v>
      </c>
      <c r="J90" s="16" t="n">
        <v>15.73491930939585</v>
      </c>
      <c r="K90" s="16" t="n">
        <v>20.85652950628872</v>
      </c>
      <c r="L90" s="16" t="n">
        <v>5.121610196892865</v>
      </c>
      <c r="M90" s="16" t="n">
        <v>5.121610196892865</v>
      </c>
      <c r="N90" s="16" t="n">
        <v>16.2159923039209</v>
      </c>
      <c r="O90" s="16" t="n">
        <v>30.4926265626966</v>
      </c>
      <c r="P90" s="14" t="n">
        <v>1058.270884353742</v>
      </c>
      <c r="Q90" s="15" t="n">
        <v>0.9930488621401256</v>
      </c>
      <c r="R90" s="15" t="n">
        <v>1.602114774955336</v>
      </c>
      <c r="S90" s="16" t="n">
        <v>0.6117989373553652</v>
      </c>
      <c r="T90" s="15" t="n">
        <v>4.045454392378272</v>
      </c>
      <c r="U90" s="16" t="n">
        <v>1.125378348728407</v>
      </c>
      <c r="V90" s="15" t="n">
        <v>5.703561539526296</v>
      </c>
      <c r="W90" s="15" t="n">
        <v>10.53710061075574</v>
      </c>
    </row>
    <row r="91">
      <c r="A91" s="12" t="inlineStr">
        <is>
          <t>SOUTH ZONE RO</t>
        </is>
      </c>
      <c r="B91" s="12" t="inlineStr">
        <is>
          <t>NEPAL ZONE</t>
        </is>
      </c>
      <c r="C91" s="12" t="inlineStr">
        <is>
          <t>SOUTH ZONE RO → NEPAL ZONE</t>
        </is>
      </c>
      <c r="D91" s="12" t="inlineStr">
        <is>
          <t>June</t>
        </is>
      </c>
      <c r="E91" s="13" t="n">
        <v>287</v>
      </c>
      <c r="F91" s="14" t="n">
        <v>310342.68</v>
      </c>
      <c r="G91" s="14" t="n">
        <v>4918514.27</v>
      </c>
      <c r="H91" s="14" t="n">
        <v>6817801.87</v>
      </c>
      <c r="I91" s="14" t="n">
        <v>1899287.6</v>
      </c>
      <c r="J91" s="16" t="n">
        <v>15.84865565380824</v>
      </c>
      <c r="K91" s="16" t="n">
        <v>21.96862471510525</v>
      </c>
      <c r="L91" s="16" t="n">
        <v>6.119969061297016</v>
      </c>
      <c r="M91" s="16" t="n">
        <v>6.119969061297015</v>
      </c>
      <c r="N91" s="16" t="n">
        <v>16.37897736640637</v>
      </c>
      <c r="O91" s="16" t="n">
        <v>31.61895100993037</v>
      </c>
      <c r="P91" s="14" t="n">
        <v>1081.333379790941</v>
      </c>
      <c r="Q91" s="15" t="n">
        <v>0.9905307131332484</v>
      </c>
      <c r="R91" s="15" t="n">
        <v>1.683262233079586</v>
      </c>
      <c r="S91" s="16" t="n">
        <v>0.1137363444123807</v>
      </c>
      <c r="T91" s="15" t="n">
        <v>0.7228276305456797</v>
      </c>
      <c r="U91" s="16" t="n">
        <v>1.11209520881653</v>
      </c>
      <c r="V91" s="15" t="n">
        <v>5.332120132839973</v>
      </c>
      <c r="W91" s="15" t="n">
        <v>-0.2535775532183165</v>
      </c>
    </row>
    <row r="92">
      <c r="A92" s="12" t="inlineStr">
        <is>
          <t>SOUTH ZONE RO</t>
        </is>
      </c>
      <c r="B92" s="12" t="inlineStr">
        <is>
          <t>NEPAL ZONE</t>
        </is>
      </c>
      <c r="C92" s="12" t="inlineStr">
        <is>
          <t>SOUTH ZONE RO → NEPAL ZONE</t>
        </is>
      </c>
      <c r="D92" s="12" t="inlineStr">
        <is>
          <t>July</t>
        </is>
      </c>
      <c r="E92" s="13" t="n">
        <v>221</v>
      </c>
      <c r="F92" s="14" t="n">
        <v>198611.28</v>
      </c>
      <c r="G92" s="14" t="n">
        <v>3054786.84</v>
      </c>
      <c r="H92" s="14" t="n">
        <v>4095456.34</v>
      </c>
      <c r="I92" s="14" t="n">
        <v>1040669.5</v>
      </c>
      <c r="J92" s="16" t="n">
        <v>15.38073184967138</v>
      </c>
      <c r="K92" s="16" t="n">
        <v>20.62046193952327</v>
      </c>
      <c r="L92" s="16" t="n">
        <v>5.239730089851895</v>
      </c>
      <c r="M92" s="16" t="n">
        <v>5.239730089851896</v>
      </c>
      <c r="N92" s="16" t="n">
        <v>16.02081068388996</v>
      </c>
      <c r="O92" s="16" t="n">
        <v>31.91090830665733</v>
      </c>
      <c r="P92" s="14" t="n">
        <v>898.6935746606334</v>
      </c>
      <c r="Q92" s="15" t="n">
        <v>0.6339140101990074</v>
      </c>
      <c r="R92" s="15" t="n">
        <v>1.011136304016466</v>
      </c>
      <c r="S92" s="16" t="n">
        <v>-0.4679238041368574</v>
      </c>
      <c r="T92" s="15" t="n">
        <v>-2.952451074450729</v>
      </c>
      <c r="U92" s="16" t="n">
        <v>-1.348162775581976</v>
      </c>
      <c r="V92" s="15" t="n">
        <v>-6.136764558843787</v>
      </c>
      <c r="W92" s="15" t="n">
        <v>-36.00258913791684</v>
      </c>
    </row>
    <row r="93">
      <c r="A93" s="12" t="inlineStr">
        <is>
          <t>NORTH EAST ZONE RO</t>
        </is>
      </c>
      <c r="B93" s="12" t="inlineStr">
        <is>
          <t>NORTH ZONE RO</t>
        </is>
      </c>
      <c r="C93" s="12" t="inlineStr">
        <is>
          <t>NORTH EAST ZONE RO → NORTH ZONE RO</t>
        </is>
      </c>
      <c r="D93" s="12" t="inlineStr">
        <is>
          <t>April</t>
        </is>
      </c>
      <c r="E93" s="13" t="n">
        <v>1</v>
      </c>
      <c r="F93" s="14" t="n">
        <v>20</v>
      </c>
      <c r="G93" s="14" t="n">
        <v>300</v>
      </c>
      <c r="H93" s="14" t="n">
        <v>500</v>
      </c>
      <c r="I93" s="14" t="n">
        <v>200</v>
      </c>
      <c r="J93" s="16" t="n">
        <v>15</v>
      </c>
      <c r="K93" s="16" t="n">
        <v>25</v>
      </c>
      <c r="L93" s="16" t="n">
        <v>10</v>
      </c>
      <c r="M93" s="16" t="n">
        <v>10</v>
      </c>
      <c r="N93" s="16" t="n">
        <v>15</v>
      </c>
      <c r="O93" s="16" t="n">
        <v>25</v>
      </c>
      <c r="P93" s="14" t="n">
        <v>20</v>
      </c>
      <c r="Q93" s="15" t="n">
        <v>6.383464324876285e-05</v>
      </c>
      <c r="R93" s="15" t="n">
        <v>0.0001234461095508182</v>
      </c>
      <c r="S93" s="12" t="n"/>
      <c r="T93" s="12" t="n"/>
      <c r="U93" s="12" t="n"/>
      <c r="V93" s="12" t="n"/>
      <c r="W93" s="12" t="n"/>
    </row>
    <row r="94">
      <c r="A94" s="12" t="inlineStr">
        <is>
          <t>NORTH EAST ZONE RO</t>
        </is>
      </c>
      <c r="B94" s="12" t="inlineStr">
        <is>
          <t>NORTH ZONE RO</t>
        </is>
      </c>
      <c r="C94" s="12" t="inlineStr">
        <is>
          <t>NORTH EAST ZONE RO → NORTH ZONE RO</t>
        </is>
      </c>
      <c r="D94" s="12" t="inlineStr">
        <is>
          <t>May</t>
        </is>
      </c>
      <c r="E94" s="13" t="n">
        <v>1</v>
      </c>
      <c r="F94" s="14" t="n">
        <v>380</v>
      </c>
      <c r="G94" s="14" t="n">
        <v>8170</v>
      </c>
      <c r="H94" s="14" t="n">
        <v>10400</v>
      </c>
      <c r="I94" s="14" t="n">
        <v>2230</v>
      </c>
      <c r="J94" s="16" t="n">
        <v>21.5</v>
      </c>
      <c r="K94" s="16" t="n">
        <v>27.36842105263158</v>
      </c>
      <c r="L94" s="16" t="n">
        <v>5.868421052631579</v>
      </c>
      <c r="M94" s="16" t="n">
        <v>5.868421052631579</v>
      </c>
      <c r="N94" s="16" t="n">
        <v>21.5</v>
      </c>
      <c r="O94" s="16" t="n">
        <v>27.36842105263158</v>
      </c>
      <c r="P94" s="14" t="n">
        <v>380</v>
      </c>
      <c r="Q94" s="15" t="n">
        <v>0.001212858221726494</v>
      </c>
      <c r="R94" s="15" t="n">
        <v>0.002567679078657019</v>
      </c>
      <c r="S94" s="16" t="n">
        <v>6.5</v>
      </c>
      <c r="T94" s="15" t="n">
        <v>43.33333333333334</v>
      </c>
      <c r="U94" s="16" t="n">
        <v>2.368421052631579</v>
      </c>
      <c r="V94" s="15" t="n">
        <v>9.473684210526315</v>
      </c>
      <c r="W94" s="15" t="n">
        <v>1800</v>
      </c>
    </row>
    <row r="95">
      <c r="A95" s="12" t="inlineStr">
        <is>
          <t>NORTH EAST ZONE RO</t>
        </is>
      </c>
      <c r="B95" s="12" t="inlineStr">
        <is>
          <t>NORTH ZONE RO</t>
        </is>
      </c>
      <c r="C95" s="12" t="inlineStr">
        <is>
          <t>NORTH EAST ZONE RO → NORTH ZONE RO</t>
        </is>
      </c>
      <c r="D95" s="12" t="inlineStr">
        <is>
          <t>June</t>
        </is>
      </c>
      <c r="E95" s="13" t="n">
        <v>2</v>
      </c>
      <c r="F95" s="14" t="n">
        <v>4050</v>
      </c>
      <c r="G95" s="14" t="n">
        <v>25920</v>
      </c>
      <c r="H95" s="14" t="n">
        <v>30460</v>
      </c>
      <c r="I95" s="14" t="n">
        <v>4540</v>
      </c>
      <c r="J95" s="16" t="n">
        <v>6.4</v>
      </c>
      <c r="K95" s="16" t="n">
        <v>7.520987654320987</v>
      </c>
      <c r="L95" s="16" t="n">
        <v>1.120987654320988</v>
      </c>
      <c r="M95" s="16" t="n">
        <v>1.120987654320987</v>
      </c>
      <c r="N95" s="16" t="n">
        <v>13.115</v>
      </c>
      <c r="O95" s="16" t="n">
        <v>19.31125</v>
      </c>
      <c r="P95" s="14" t="n">
        <v>2025</v>
      </c>
      <c r="Q95" s="15" t="n">
        <v>0.01292651525787448</v>
      </c>
      <c r="R95" s="15" t="n">
        <v>0.007520336993835845</v>
      </c>
      <c r="S95" s="16" t="n">
        <v>-15.1</v>
      </c>
      <c r="T95" s="15" t="n">
        <v>-70.23255813953489</v>
      </c>
      <c r="U95" s="16" t="n">
        <v>-19.84743339831059</v>
      </c>
      <c r="V95" s="15" t="n">
        <v>-72.51946818613486</v>
      </c>
      <c r="W95" s="15" t="n">
        <v>965.7894736842105</v>
      </c>
    </row>
    <row r="96">
      <c r="A96" s="12" t="inlineStr">
        <is>
          <t>NORTH EAST ZONE RO</t>
        </is>
      </c>
      <c r="B96" s="12" t="inlineStr">
        <is>
          <t>NORTH ZONE RO</t>
        </is>
      </c>
      <c r="C96" s="12" t="inlineStr">
        <is>
          <t>NORTH EAST ZONE RO → NORTH ZONE RO</t>
        </is>
      </c>
      <c r="D96" s="12" t="inlineStr">
        <is>
          <t>July</t>
        </is>
      </c>
      <c r="E96" s="13" t="n">
        <v>7</v>
      </c>
      <c r="F96" s="14" t="n">
        <v>77800</v>
      </c>
      <c r="G96" s="14" t="n">
        <v>397900</v>
      </c>
      <c r="H96" s="14" t="n">
        <v>454950</v>
      </c>
      <c r="I96" s="14" t="n">
        <v>57050</v>
      </c>
      <c r="J96" s="16" t="n">
        <v>5.114395886889461</v>
      </c>
      <c r="K96" s="16" t="n">
        <v>5.847686375321337</v>
      </c>
      <c r="L96" s="16" t="n">
        <v>0.7332904884318766</v>
      </c>
      <c r="M96" s="16" t="n">
        <v>0.7332904884318765</v>
      </c>
      <c r="N96" s="16" t="n">
        <v>4.33</v>
      </c>
      <c r="O96" s="16" t="n">
        <v>5.153571428571429</v>
      </c>
      <c r="P96" s="14" t="n">
        <v>11114.28571428571</v>
      </c>
      <c r="Q96" s="15" t="n">
        <v>0.2483167622376875</v>
      </c>
      <c r="R96" s="15" t="n">
        <v>0.1123236150802895</v>
      </c>
      <c r="S96" s="16" t="n">
        <v>-1.28560411311054</v>
      </c>
      <c r="T96" s="15" t="n">
        <v>-20.08756426735218</v>
      </c>
      <c r="U96" s="16" t="n">
        <v>-1.67330127899965</v>
      </c>
      <c r="V96" s="15" t="n">
        <v>-22.24842475360665</v>
      </c>
      <c r="W96" s="15" t="n">
        <v>1820.987654320988</v>
      </c>
    </row>
    <row r="97">
      <c r="A97" s="12" t="inlineStr">
        <is>
          <t>NORTH EAST ZONE RO</t>
        </is>
      </c>
      <c r="B97" s="12" t="inlineStr">
        <is>
          <t>EAST ZONE RO</t>
        </is>
      </c>
      <c r="C97" s="12" t="inlineStr">
        <is>
          <t>NORTH EAST ZONE RO → EAST ZONE RO</t>
        </is>
      </c>
      <c r="D97" s="12" t="inlineStr">
        <is>
          <t>May</t>
        </is>
      </c>
      <c r="E97" s="13" t="n">
        <v>2</v>
      </c>
      <c r="F97" s="14" t="n">
        <v>3400</v>
      </c>
      <c r="G97" s="14" t="n">
        <v>13420</v>
      </c>
      <c r="H97" s="14" t="n">
        <v>15300</v>
      </c>
      <c r="I97" s="14" t="n">
        <v>1880</v>
      </c>
      <c r="J97" s="16" t="n">
        <v>3.947058823529412</v>
      </c>
      <c r="K97" s="16" t="n">
        <v>4.5</v>
      </c>
      <c r="L97" s="16" t="n">
        <v>0.5529411764705883</v>
      </c>
      <c r="M97" s="16" t="n">
        <v>0.552941176470588</v>
      </c>
      <c r="N97" s="16" t="n">
        <v>3.9</v>
      </c>
      <c r="O97" s="16" t="n">
        <v>4.5</v>
      </c>
      <c r="P97" s="14" t="n">
        <v>1700</v>
      </c>
      <c r="Q97" s="15" t="n">
        <v>0.01085188935228968</v>
      </c>
      <c r="R97" s="15" t="n">
        <v>0.003777450952255037</v>
      </c>
      <c r="S97" s="12" t="n"/>
      <c r="T97" s="12" t="n"/>
      <c r="U97" s="12" t="n"/>
      <c r="V97" s="12" t="n"/>
      <c r="W97" s="12" t="n"/>
    </row>
    <row r="98">
      <c r="A98" s="12" t="inlineStr">
        <is>
          <t>NORTH EAST ZONE RO</t>
        </is>
      </c>
      <c r="B98" s="12" t="inlineStr">
        <is>
          <t>EAST ZONE RO</t>
        </is>
      </c>
      <c r="C98" s="12" t="inlineStr">
        <is>
          <t>NORTH EAST ZONE RO → EAST ZONE RO</t>
        </is>
      </c>
      <c r="D98" s="12" t="inlineStr">
        <is>
          <t>June</t>
        </is>
      </c>
      <c r="E98" s="13" t="n">
        <v>3</v>
      </c>
      <c r="F98" s="14" t="n">
        <v>1199</v>
      </c>
      <c r="G98" s="14" t="n">
        <v>16031.75</v>
      </c>
      <c r="H98" s="14" t="n">
        <v>18966.75</v>
      </c>
      <c r="I98" s="14" t="n">
        <v>2935</v>
      </c>
      <c r="J98" s="16" t="n">
        <v>13.3709341117598</v>
      </c>
      <c r="K98" s="16" t="n">
        <v>15.81880733944954</v>
      </c>
      <c r="L98" s="16" t="n">
        <v>2.447873227689741</v>
      </c>
      <c r="M98" s="16" t="n">
        <v>2.447873227689742</v>
      </c>
      <c r="N98" s="16" t="n">
        <v>12.305</v>
      </c>
      <c r="O98" s="16" t="n">
        <v>16.70896733403583</v>
      </c>
      <c r="P98" s="14" t="n">
        <v>399.6666666666667</v>
      </c>
      <c r="Q98" s="15" t="n">
        <v>0.003826886862763332</v>
      </c>
      <c r="R98" s="15" t="n">
        <v>0.004682742996645962</v>
      </c>
      <c r="S98" s="16" t="n">
        <v>9.423875288230388</v>
      </c>
      <c r="T98" s="15" t="n">
        <v>238.7568999998757</v>
      </c>
      <c r="U98" s="16" t="n">
        <v>11.31880733944954</v>
      </c>
      <c r="V98" s="15" t="n">
        <v>251.5290519877676</v>
      </c>
      <c r="W98" s="15" t="n">
        <v>-64.73529411764706</v>
      </c>
    </row>
    <row r="99">
      <c r="A99" s="12" t="inlineStr">
        <is>
          <t>NORTH EAST ZONE RO</t>
        </is>
      </c>
      <c r="B99" s="12" t="inlineStr">
        <is>
          <t>WEST ZONE RO</t>
        </is>
      </c>
      <c r="C99" s="12" t="inlineStr">
        <is>
          <t>NORTH EAST ZONE RO → WEST ZONE RO</t>
        </is>
      </c>
      <c r="D99" s="12" t="inlineStr">
        <is>
          <t>May</t>
        </is>
      </c>
      <c r="E99" s="13" t="n">
        <v>1</v>
      </c>
      <c r="F99" s="14" t="n">
        <v>2200</v>
      </c>
      <c r="G99" s="14" t="n">
        <v>55000</v>
      </c>
      <c r="H99" s="14" t="n">
        <v>70998</v>
      </c>
      <c r="I99" s="14" t="n">
        <v>15998</v>
      </c>
      <c r="J99" s="16" t="n">
        <v>25</v>
      </c>
      <c r="K99" s="16" t="n">
        <v>32.27181818181818</v>
      </c>
      <c r="L99" s="16" t="n">
        <v>7.271818181818182</v>
      </c>
      <c r="M99" s="16" t="n">
        <v>7.271818181818183</v>
      </c>
      <c r="N99" s="16" t="n">
        <v>25</v>
      </c>
      <c r="O99" s="16" t="n">
        <v>32.27181818181818</v>
      </c>
      <c r="P99" s="14" t="n">
        <v>2200</v>
      </c>
      <c r="Q99" s="15" t="n">
        <v>0.007021810757363913</v>
      </c>
      <c r="R99" s="15" t="n">
        <v>0.01752885377177798</v>
      </c>
      <c r="S99" s="12" t="n"/>
      <c r="T99" s="12" t="n"/>
      <c r="U99" s="12" t="n"/>
      <c r="V99" s="12" t="n"/>
      <c r="W99" s="12" t="n"/>
    </row>
    <row r="100">
      <c r="A100" s="12" t="inlineStr">
        <is>
          <t>NORTH EAST ZONE RO</t>
        </is>
      </c>
      <c r="B100" s="12" t="inlineStr">
        <is>
          <t>WEST ZONE RO</t>
        </is>
      </c>
      <c r="C100" s="12" t="inlineStr">
        <is>
          <t>NORTH EAST ZONE RO → WEST ZONE RO</t>
        </is>
      </c>
      <c r="D100" s="12" t="inlineStr">
        <is>
          <t>June</t>
        </is>
      </c>
      <c r="E100" s="13" t="n">
        <v>1</v>
      </c>
      <c r="F100" s="14" t="n">
        <v>35</v>
      </c>
      <c r="G100" s="14" t="n">
        <v>1050</v>
      </c>
      <c r="H100" s="14" t="n">
        <v>2100</v>
      </c>
      <c r="I100" s="14" t="n">
        <v>1050</v>
      </c>
      <c r="J100" s="16" t="n">
        <v>30</v>
      </c>
      <c r="K100" s="16" t="n">
        <v>60</v>
      </c>
      <c r="L100" s="16" t="n">
        <v>30</v>
      </c>
      <c r="M100" s="16" t="n">
        <v>30</v>
      </c>
      <c r="N100" s="16" t="n">
        <v>30</v>
      </c>
      <c r="O100" s="16" t="n">
        <v>60</v>
      </c>
      <c r="P100" s="14" t="n">
        <v>35</v>
      </c>
      <c r="Q100" s="15" t="n">
        <v>0.000111710625685335</v>
      </c>
      <c r="R100" s="15" t="n">
        <v>0.0005184736601134364</v>
      </c>
      <c r="S100" s="16" t="n">
        <v>5</v>
      </c>
      <c r="T100" s="15" t="n">
        <v>20</v>
      </c>
      <c r="U100" s="16" t="n">
        <v>27.72818181818182</v>
      </c>
      <c r="V100" s="15" t="n">
        <v>85.92073016141299</v>
      </c>
      <c r="W100" s="15" t="n">
        <v>-98.40909090909091</v>
      </c>
    </row>
    <row r="101">
      <c r="A101" s="12" t="inlineStr">
        <is>
          <t>NORTH EAST ZONE RO</t>
        </is>
      </c>
      <c r="B101" s="12" t="inlineStr">
        <is>
          <t>SOUTH ZONE RO</t>
        </is>
      </c>
      <c r="C101" s="12" t="inlineStr">
        <is>
          <t>NORTH EAST ZONE RO → SOUTH ZONE RO</t>
        </is>
      </c>
      <c r="D101" s="12" t="inlineStr">
        <is>
          <t>April</t>
        </is>
      </c>
      <c r="E101" s="13" t="n">
        <v>2</v>
      </c>
      <c r="F101" s="14" t="n">
        <v>3400</v>
      </c>
      <c r="G101" s="14" t="n">
        <v>90000</v>
      </c>
      <c r="H101" s="14" t="n">
        <v>96917.67</v>
      </c>
      <c r="I101" s="14" t="n">
        <v>6917.669999999998</v>
      </c>
      <c r="J101" s="16" t="n">
        <v>26.47058823529412</v>
      </c>
      <c r="K101" s="16" t="n">
        <v>28.50519705882353</v>
      </c>
      <c r="L101" s="16" t="n">
        <v>2.034608823529411</v>
      </c>
      <c r="M101" s="16" t="n">
        <v>2.034608823529414</v>
      </c>
      <c r="N101" s="16" t="n">
        <v>25.9433962264151</v>
      </c>
      <c r="O101" s="16" t="n">
        <v>29.13316364779874</v>
      </c>
      <c r="P101" s="14" t="n">
        <v>1700</v>
      </c>
      <c r="Q101" s="15" t="n">
        <v>0.01085188935228968</v>
      </c>
      <c r="R101" s="15" t="n">
        <v>0.02392821861646009</v>
      </c>
      <c r="S101" s="12" t="n"/>
      <c r="T101" s="12" t="n"/>
      <c r="U101" s="12" t="n"/>
      <c r="V101" s="12" t="n"/>
      <c r="W101" s="12" t="n"/>
    </row>
    <row r="102">
      <c r="A102" s="12" t="inlineStr">
        <is>
          <t>NORTH EAST ZONE RO</t>
        </is>
      </c>
      <c r="B102" s="12" t="inlineStr">
        <is>
          <t>NORTH EAST ZONE RO</t>
        </is>
      </c>
      <c r="C102" s="12" t="inlineStr">
        <is>
          <t>NORTH EAST ZONE RO → NORTH EAST ZONE RO</t>
        </is>
      </c>
      <c r="D102" s="12" t="inlineStr">
        <is>
          <t>April</t>
        </is>
      </c>
      <c r="E102" s="13" t="n">
        <v>471</v>
      </c>
      <c r="F102" s="14" t="n">
        <v>431793</v>
      </c>
      <c r="G102" s="14" t="n">
        <v>2658310.42</v>
      </c>
      <c r="H102" s="14" t="n">
        <v>2926100.66</v>
      </c>
      <c r="I102" s="14" t="n">
        <v>267790.24</v>
      </c>
      <c r="J102" s="16" t="n">
        <v>6.156446306447766</v>
      </c>
      <c r="K102" s="16" t="n">
        <v>6.776628291797227</v>
      </c>
      <c r="L102" s="16" t="n">
        <v>0.6201819853494615</v>
      </c>
      <c r="M102" s="16" t="n">
        <v>0.6201819853494612</v>
      </c>
      <c r="N102" s="16" t="n">
        <v>6.229791087653029</v>
      </c>
      <c r="O102" s="16" t="n">
        <v>7.759625746435081</v>
      </c>
      <c r="P102" s="14" t="n">
        <v>916.7579617834394</v>
      </c>
      <c r="Q102" s="15" t="n">
        <v>1.378167605615653</v>
      </c>
      <c r="R102" s="15" t="n">
        <v>0.7224314852621628</v>
      </c>
      <c r="S102" s="12" t="n"/>
      <c r="T102" s="12" t="n"/>
      <c r="U102" s="12" t="n"/>
      <c r="V102" s="12" t="n"/>
      <c r="W102" s="12" t="n"/>
    </row>
    <row r="103">
      <c r="A103" s="12" t="inlineStr">
        <is>
          <t>NORTH EAST ZONE RO</t>
        </is>
      </c>
      <c r="B103" s="12" t="inlineStr">
        <is>
          <t>NORTH EAST ZONE RO</t>
        </is>
      </c>
      <c r="C103" s="12" t="inlineStr">
        <is>
          <t>NORTH EAST ZONE RO → NORTH EAST ZONE RO</t>
        </is>
      </c>
      <c r="D103" s="12" t="inlineStr">
        <is>
          <t>May</t>
        </is>
      </c>
      <c r="E103" s="13" t="n">
        <v>459</v>
      </c>
      <c r="F103" s="14" t="n">
        <v>330918.7</v>
      </c>
      <c r="G103" s="14" t="n">
        <v>1947975.53</v>
      </c>
      <c r="H103" s="14" t="n">
        <v>2222118.17</v>
      </c>
      <c r="I103" s="14" t="n">
        <v>274142.64</v>
      </c>
      <c r="J103" s="16" t="n">
        <v>5.886568302123754</v>
      </c>
      <c r="K103" s="16" t="n">
        <v>6.714997278787811</v>
      </c>
      <c r="L103" s="16" t="n">
        <v>0.8284289766640568</v>
      </c>
      <c r="M103" s="16" t="n">
        <v>0.8284289766640569</v>
      </c>
      <c r="N103" s="16" t="n">
        <v>6.16788192788452</v>
      </c>
      <c r="O103" s="16" t="n">
        <v>7.75454139117467</v>
      </c>
      <c r="P103" s="14" t="n">
        <v>720.9557734204793</v>
      </c>
      <c r="Q103" s="15" t="n">
        <v>1.056203857942219</v>
      </c>
      <c r="R103" s="15" t="n">
        <v>0.5486236860973673</v>
      </c>
      <c r="S103" s="16" t="n">
        <v>-0.2698780043240117</v>
      </c>
      <c r="T103" s="15" t="n">
        <v>-4.383665362944256</v>
      </c>
      <c r="U103" s="16" t="n">
        <v>-0.06163101300941598</v>
      </c>
      <c r="V103" s="15" t="n">
        <v>-0.9094642697758304</v>
      </c>
      <c r="W103" s="15" t="n">
        <v>-23.3617265680546</v>
      </c>
    </row>
    <row r="104">
      <c r="A104" s="12" t="inlineStr">
        <is>
          <t>NORTH EAST ZONE RO</t>
        </is>
      </c>
      <c r="B104" s="12" t="inlineStr">
        <is>
          <t>NORTH EAST ZONE RO</t>
        </is>
      </c>
      <c r="C104" s="12" t="inlineStr">
        <is>
          <t>NORTH EAST ZONE RO → NORTH EAST ZONE RO</t>
        </is>
      </c>
      <c r="D104" s="12" t="inlineStr">
        <is>
          <t>June</t>
        </is>
      </c>
      <c r="E104" s="13" t="n">
        <v>481</v>
      </c>
      <c r="F104" s="14" t="n">
        <v>339613.36</v>
      </c>
      <c r="G104" s="14" t="n">
        <v>1955581.68</v>
      </c>
      <c r="H104" s="14" t="n">
        <v>2248224.44</v>
      </c>
      <c r="I104" s="14" t="n">
        <v>292642.76</v>
      </c>
      <c r="J104" s="16" t="n">
        <v>5.758258980153196</v>
      </c>
      <c r="K104" s="16" t="n">
        <v>6.619952878178879</v>
      </c>
      <c r="L104" s="16" t="n">
        <v>0.8616938980256843</v>
      </c>
      <c r="M104" s="16" t="n">
        <v>0.8616938980256839</v>
      </c>
      <c r="N104" s="16" t="n">
        <v>6.070553194014837</v>
      </c>
      <c r="O104" s="16" t="n">
        <v>7.748125276702366</v>
      </c>
      <c r="P104" s="14" t="n">
        <v>706.0568814968815</v>
      </c>
      <c r="Q104" s="15" t="n">
        <v>1.083954883905683</v>
      </c>
      <c r="R104" s="15" t="n">
        <v>0.5550691210301338</v>
      </c>
      <c r="S104" s="16" t="n">
        <v>-0.1283093219705584</v>
      </c>
      <c r="T104" s="15" t="n">
        <v>-2.179696478239572</v>
      </c>
      <c r="U104" s="16" t="n">
        <v>-0.09504440060893149</v>
      </c>
      <c r="V104" s="15" t="n">
        <v>-1.415404901341805</v>
      </c>
      <c r="W104" s="15" t="n">
        <v>2.62743084630756</v>
      </c>
    </row>
    <row r="105">
      <c r="A105" s="12" t="inlineStr">
        <is>
          <t>NORTH EAST ZONE RO</t>
        </is>
      </c>
      <c r="B105" s="12" t="inlineStr">
        <is>
          <t>NORTH EAST ZONE RO</t>
        </is>
      </c>
      <c r="C105" s="12" t="inlineStr">
        <is>
          <t>NORTH EAST ZONE RO → NORTH EAST ZONE RO</t>
        </is>
      </c>
      <c r="D105" s="12" t="inlineStr">
        <is>
          <t>July</t>
        </is>
      </c>
      <c r="E105" s="13" t="n">
        <v>454</v>
      </c>
      <c r="F105" s="14" t="n">
        <v>303188.267</v>
      </c>
      <c r="G105" s="14" t="n">
        <v>1706973.24</v>
      </c>
      <c r="H105" s="14" t="n">
        <v>1951679.72</v>
      </c>
      <c r="I105" s="14" t="n">
        <v>244706.48</v>
      </c>
      <c r="J105" s="16" t="n">
        <v>5.630076839352098</v>
      </c>
      <c r="K105" s="16" t="n">
        <v>6.437187491823356</v>
      </c>
      <c r="L105" s="16" t="n">
        <v>0.8071106524712581</v>
      </c>
      <c r="M105" s="16" t="n">
        <v>0.8071106524712581</v>
      </c>
      <c r="N105" s="16" t="n">
        <v>6.029229752544889</v>
      </c>
      <c r="O105" s="16" t="n">
        <v>7.226478601284507</v>
      </c>
      <c r="P105" s="14" t="n">
        <v>667.8155660792951</v>
      </c>
      <c r="Q105" s="15" t="n">
        <v>0.9676957430577828</v>
      </c>
      <c r="R105" s="15" t="n">
        <v>0.4818545370464604</v>
      </c>
      <c r="S105" s="16" t="n">
        <v>-0.1281821408010977</v>
      </c>
      <c r="T105" s="15" t="n">
        <v>-2.226057237836973</v>
      </c>
      <c r="U105" s="16" t="n">
        <v>-0.1827653863555234</v>
      </c>
      <c r="V105" s="15" t="n">
        <v>-2.760826092251602</v>
      </c>
      <c r="W105" s="15" t="n">
        <v>-10.72545938711009</v>
      </c>
    </row>
    <row r="106">
      <c r="A106" s="12" t="inlineStr">
        <is>
          <t>NEPAL ZONE</t>
        </is>
      </c>
      <c r="B106" s="12" t="inlineStr">
        <is>
          <t>NORTH ZONE RO</t>
        </is>
      </c>
      <c r="C106" s="12" t="inlineStr">
        <is>
          <t>NEPAL ZONE → NORTH ZONE RO</t>
        </is>
      </c>
      <c r="D106" s="12" t="inlineStr">
        <is>
          <t>May</t>
        </is>
      </c>
      <c r="E106" s="13" t="n">
        <v>3</v>
      </c>
      <c r="F106" s="14" t="n">
        <v>19717</v>
      </c>
      <c r="G106" s="14" t="n">
        <v>6</v>
      </c>
      <c r="H106" s="14" t="n">
        <v>781</v>
      </c>
      <c r="I106" s="14" t="n">
        <v>775</v>
      </c>
      <c r="J106" s="16" t="n">
        <v>0.000304305928893848</v>
      </c>
      <c r="K106" s="16" t="n">
        <v>0.03961048841101587</v>
      </c>
      <c r="L106" s="16" t="n">
        <v>0.03930618248212202</v>
      </c>
      <c r="M106" s="16" t="n">
        <v>0.03930618248212202</v>
      </c>
      <c r="N106" s="16" t="n">
        <v>0.0335</v>
      </c>
      <c r="O106" s="16" t="n">
        <v>1.211487207788532</v>
      </c>
      <c r="P106" s="14" t="n">
        <v>6572.333333333333</v>
      </c>
      <c r="Q106" s="15" t="n">
        <v>0.06293138304679285</v>
      </c>
      <c r="R106" s="15" t="n">
        <v>0.000192822823118378</v>
      </c>
      <c r="S106" s="12" t="n"/>
      <c r="T106" s="12" t="n"/>
      <c r="U106" s="12" t="n"/>
      <c r="V106" s="12" t="n"/>
      <c r="W106" s="12" t="n"/>
    </row>
    <row r="107">
      <c r="A107" s="12" t="inlineStr">
        <is>
          <t>NEPAL ZONE</t>
        </is>
      </c>
      <c r="B107" s="12" t="inlineStr">
        <is>
          <t>NORTH ZONE RO</t>
        </is>
      </c>
      <c r="C107" s="12" t="inlineStr">
        <is>
          <t>NEPAL ZONE → NORTH ZONE RO</t>
        </is>
      </c>
      <c r="D107" s="12" t="inlineStr">
        <is>
          <t>June</t>
        </is>
      </c>
      <c r="E107" s="13" t="n">
        <v>1</v>
      </c>
      <c r="F107" s="14" t="n">
        <v>1600</v>
      </c>
      <c r="G107" s="14" t="n">
        <v>0</v>
      </c>
      <c r="H107" s="14" t="n">
        <v>1566.6</v>
      </c>
      <c r="I107" s="14" t="n">
        <v>1566.6</v>
      </c>
      <c r="J107" s="16" t="n">
        <v>0</v>
      </c>
      <c r="K107" s="16" t="n">
        <v>0.9791249999999999</v>
      </c>
      <c r="L107" s="16" t="n">
        <v>0.9791249999999999</v>
      </c>
      <c r="M107" s="16" t="n">
        <v>0.9791249999999999</v>
      </c>
      <c r="N107" s="16" t="n">
        <v>0</v>
      </c>
      <c r="O107" s="16" t="n">
        <v>0.9791249999999999</v>
      </c>
      <c r="P107" s="14" t="n">
        <v>1600</v>
      </c>
      <c r="Q107" s="15" t="n">
        <v>0.005106771459901027</v>
      </c>
      <c r="R107" s="15" t="n">
        <v>0.0003867813504446236</v>
      </c>
      <c r="S107" s="16" t="n">
        <v>-0.000304305928893848</v>
      </c>
      <c r="T107" s="15" t="n">
        <v>-100</v>
      </c>
      <c r="U107" s="16" t="n">
        <v>0.939514511588984</v>
      </c>
      <c r="V107" s="15" t="n">
        <v>2371.883178617157</v>
      </c>
      <c r="W107" s="15" t="n">
        <v>-91.88517522949739</v>
      </c>
    </row>
    <row r="108">
      <c r="A108" s="12" t="inlineStr">
        <is>
          <t>NEPAL ZONE</t>
        </is>
      </c>
      <c r="B108" s="12" t="inlineStr">
        <is>
          <t>NORTH ZONE RO</t>
        </is>
      </c>
      <c r="C108" s="12" t="inlineStr">
        <is>
          <t>NEPAL ZONE → NORTH ZONE RO</t>
        </is>
      </c>
      <c r="D108" s="12" t="inlineStr">
        <is>
          <t>July</t>
        </is>
      </c>
      <c r="E108" s="13" t="n">
        <v>2</v>
      </c>
      <c r="F108" s="14" t="n">
        <v>1195</v>
      </c>
      <c r="G108" s="14" t="n">
        <v>12595</v>
      </c>
      <c r="H108" s="14" t="n">
        <v>15000</v>
      </c>
      <c r="I108" s="14" t="n">
        <v>2405</v>
      </c>
      <c r="J108" s="16" t="n">
        <v>10.53974895397489</v>
      </c>
      <c r="K108" s="16" t="n">
        <v>12.55230125523012</v>
      </c>
      <c r="L108" s="16" t="n">
        <v>2.01255230125523</v>
      </c>
      <c r="M108" s="16" t="n">
        <v>2.01255230125523</v>
      </c>
      <c r="N108" s="16" t="n">
        <v>5.5</v>
      </c>
      <c r="O108" s="16" t="n">
        <v>6.550218340611353</v>
      </c>
      <c r="P108" s="14" t="n">
        <v>597.5</v>
      </c>
      <c r="Q108" s="15" t="n">
        <v>0.00381411993411358</v>
      </c>
      <c r="R108" s="15" t="n">
        <v>0.003703383286524546</v>
      </c>
      <c r="S108" s="16" t="n">
        <v>10.53974895397489</v>
      </c>
      <c r="T108" s="12" t="n"/>
      <c r="U108" s="16" t="n">
        <v>11.57317625523013</v>
      </c>
      <c r="V108" s="15" t="n">
        <v>1181.991702308707</v>
      </c>
      <c r="W108" s="15" t="n">
        <v>-25.3125</v>
      </c>
    </row>
    <row r="109">
      <c r="A109" s="12" t="inlineStr">
        <is>
          <t>NEPAL ZONE</t>
        </is>
      </c>
      <c r="B109" s="12" t="inlineStr">
        <is>
          <t>EAST ZONE RO</t>
        </is>
      </c>
      <c r="C109" s="12" t="inlineStr">
        <is>
          <t>NEPAL ZONE → EAST ZONE RO</t>
        </is>
      </c>
      <c r="D109" s="12" t="inlineStr">
        <is>
          <t>May</t>
        </is>
      </c>
      <c r="E109" s="13" t="n">
        <v>1</v>
      </c>
      <c r="F109" s="14" t="n">
        <v>1800</v>
      </c>
      <c r="G109" s="14" t="n">
        <v>30600</v>
      </c>
      <c r="H109" s="14" t="n">
        <v>34500</v>
      </c>
      <c r="I109" s="14" t="n">
        <v>3900</v>
      </c>
      <c r="J109" s="16" t="n">
        <v>17</v>
      </c>
      <c r="K109" s="16" t="n">
        <v>19.16666666666667</v>
      </c>
      <c r="L109" s="16" t="n">
        <v>2.166666666666667</v>
      </c>
      <c r="M109" s="16" t="n">
        <v>2.166666666666668</v>
      </c>
      <c r="N109" s="16" t="n">
        <v>17</v>
      </c>
      <c r="O109" s="16" t="n">
        <v>19.16666666666667</v>
      </c>
      <c r="P109" s="14" t="n">
        <v>1800</v>
      </c>
      <c r="Q109" s="15" t="n">
        <v>0.005745117892388656</v>
      </c>
      <c r="R109" s="15" t="n">
        <v>0.008517781559006456</v>
      </c>
      <c r="S109" s="12" t="n"/>
      <c r="T109" s="12" t="n"/>
      <c r="U109" s="12" t="n"/>
      <c r="V109" s="12" t="n"/>
      <c r="W109" s="12" t="n"/>
    </row>
    <row r="110">
      <c r="A110" s="12" t="inlineStr">
        <is>
          <t>NEPAL ZONE</t>
        </is>
      </c>
      <c r="B110" s="12" t="inlineStr">
        <is>
          <t>EAST ZONE RO</t>
        </is>
      </c>
      <c r="C110" s="12" t="inlineStr">
        <is>
          <t>NEPAL ZONE → EAST ZONE RO</t>
        </is>
      </c>
      <c r="D110" s="12" t="inlineStr">
        <is>
          <t>June</t>
        </is>
      </c>
      <c r="E110" s="13" t="n">
        <v>1</v>
      </c>
      <c r="F110" s="14" t="n">
        <v>135</v>
      </c>
      <c r="G110" s="14" t="n">
        <v>675</v>
      </c>
      <c r="H110" s="14" t="n">
        <v>1500</v>
      </c>
      <c r="I110" s="14" t="n">
        <v>825</v>
      </c>
      <c r="J110" s="16" t="n">
        <v>5</v>
      </c>
      <c r="K110" s="16" t="n">
        <v>11.11111111111111</v>
      </c>
      <c r="L110" s="16" t="n">
        <v>6.111111111111111</v>
      </c>
      <c r="M110" s="16" t="n">
        <v>6.111111111111111</v>
      </c>
      <c r="N110" s="16" t="n">
        <v>5</v>
      </c>
      <c r="O110" s="16" t="n">
        <v>11.11111111111111</v>
      </c>
      <c r="P110" s="14" t="n">
        <v>135</v>
      </c>
      <c r="Q110" s="15" t="n">
        <v>0.0004308838419291492</v>
      </c>
      <c r="R110" s="15" t="n">
        <v>0.0003703383286524546</v>
      </c>
      <c r="S110" s="16" t="n">
        <v>-12</v>
      </c>
      <c r="T110" s="15" t="n">
        <v>-70.58823529411765</v>
      </c>
      <c r="U110" s="16" t="n">
        <v>-8.055555555555557</v>
      </c>
      <c r="V110" s="15" t="n">
        <v>-42.02898550724638</v>
      </c>
      <c r="W110" s="15" t="n">
        <v>-92.5</v>
      </c>
    </row>
    <row r="111">
      <c r="A111" s="12" t="inlineStr">
        <is>
          <t>NEPAL ZONE</t>
        </is>
      </c>
      <c r="B111" s="12" t="inlineStr">
        <is>
          <t>WEST ZONE RO</t>
        </is>
      </c>
      <c r="C111" s="12" t="inlineStr">
        <is>
          <t>NEPAL ZONE → WEST ZONE RO</t>
        </is>
      </c>
      <c r="D111" s="12" t="inlineStr">
        <is>
          <t>May</t>
        </is>
      </c>
      <c r="E111" s="13" t="n">
        <v>1</v>
      </c>
      <c r="F111" s="14" t="n">
        <v>814</v>
      </c>
      <c r="G111" s="14" t="n">
        <v>24420</v>
      </c>
      <c r="H111" s="14" t="n">
        <v>33000</v>
      </c>
      <c r="I111" s="14" t="n">
        <v>8580</v>
      </c>
      <c r="J111" s="16" t="n">
        <v>30</v>
      </c>
      <c r="K111" s="16" t="n">
        <v>40.54054054054054</v>
      </c>
      <c r="L111" s="16" t="n">
        <v>10.54054054054054</v>
      </c>
      <c r="M111" s="16" t="n">
        <v>10.54054054054054</v>
      </c>
      <c r="N111" s="16" t="n">
        <v>30</v>
      </c>
      <c r="O111" s="16" t="n">
        <v>40.54054054054054</v>
      </c>
      <c r="P111" s="14" t="n">
        <v>814</v>
      </c>
      <c r="Q111" s="15" t="n">
        <v>0.002598069980224648</v>
      </c>
      <c r="R111" s="15" t="n">
        <v>0.008147443230354001</v>
      </c>
      <c r="S111" s="12" t="n"/>
      <c r="T111" s="12" t="n"/>
      <c r="U111" s="12" t="n"/>
      <c r="V111" s="12" t="n"/>
      <c r="W111" s="12" t="n"/>
    </row>
    <row r="112">
      <c r="A112" s="12" t="inlineStr">
        <is>
          <t>NEPAL ZONE</t>
        </is>
      </c>
      <c r="B112" s="12" t="inlineStr">
        <is>
          <t>WEST ZONE RO</t>
        </is>
      </c>
      <c r="C112" s="12" t="inlineStr">
        <is>
          <t>NEPAL ZONE → WEST ZONE RO</t>
        </is>
      </c>
      <c r="D112" s="12" t="inlineStr">
        <is>
          <t>June</t>
        </is>
      </c>
      <c r="E112" s="13" t="n">
        <v>2</v>
      </c>
      <c r="F112" s="14" t="n">
        <v>458</v>
      </c>
      <c r="G112" s="14" t="n">
        <v>15768</v>
      </c>
      <c r="H112" s="14" t="n">
        <v>19531</v>
      </c>
      <c r="I112" s="14" t="n">
        <v>3763</v>
      </c>
      <c r="J112" s="16" t="n">
        <v>34.42794759825328</v>
      </c>
      <c r="K112" s="16" t="n">
        <v>42.64410480349345</v>
      </c>
      <c r="L112" s="16" t="n">
        <v>8.216157205240174</v>
      </c>
      <c r="M112" s="16" t="n">
        <v>8.216157205240172</v>
      </c>
      <c r="N112" s="16" t="n">
        <v>49.5</v>
      </c>
      <c r="O112" s="16" t="n">
        <v>62.04021409624858</v>
      </c>
      <c r="P112" s="14" t="n">
        <v>229</v>
      </c>
      <c r="Q112" s="15" t="n">
        <v>0.001461813330396669</v>
      </c>
      <c r="R112" s="15" t="n">
        <v>0.00482205193127406</v>
      </c>
      <c r="S112" s="16" t="n">
        <v>4.427947598253276</v>
      </c>
      <c r="T112" s="15" t="n">
        <v>14.75982532751092</v>
      </c>
      <c r="U112" s="16" t="n">
        <v>2.103564262952908</v>
      </c>
      <c r="V112" s="15" t="n">
        <v>5.188791848617173</v>
      </c>
      <c r="W112" s="15" t="n">
        <v>-43.73464373464373</v>
      </c>
    </row>
    <row r="113">
      <c r="A113" s="12" t="inlineStr">
        <is>
          <t>NEPAL ZONE</t>
        </is>
      </c>
      <c r="B113" s="12" t="inlineStr">
        <is>
          <t>WEST ZONE RO</t>
        </is>
      </c>
      <c r="C113" s="12" t="inlineStr">
        <is>
          <t>NEPAL ZONE → WEST ZONE RO</t>
        </is>
      </c>
      <c r="D113" s="12" t="inlineStr">
        <is>
          <t>July</t>
        </is>
      </c>
      <c r="E113" s="13" t="n">
        <v>2</v>
      </c>
      <c r="F113" s="14" t="n">
        <v>5195</v>
      </c>
      <c r="G113" s="14" t="n">
        <v>59402.5</v>
      </c>
      <c r="H113" s="14" t="n">
        <v>70000</v>
      </c>
      <c r="I113" s="14" t="n">
        <v>10597.5</v>
      </c>
      <c r="J113" s="16" t="n">
        <v>11.43455245428297</v>
      </c>
      <c r="K113" s="16" t="n">
        <v>13.47449470644851</v>
      </c>
      <c r="L113" s="16" t="n">
        <v>2.039942252165544</v>
      </c>
      <c r="M113" s="16" t="n">
        <v>2.039942252165543</v>
      </c>
      <c r="N113" s="16" t="n">
        <v>12.25</v>
      </c>
      <c r="O113" s="16" t="n">
        <v>14.71291717883538</v>
      </c>
      <c r="P113" s="14" t="n">
        <v>2597.5</v>
      </c>
      <c r="Q113" s="15" t="n">
        <v>0.01658104858386615</v>
      </c>
      <c r="R113" s="15" t="n">
        <v>0.01728245533711455</v>
      </c>
      <c r="S113" s="16" t="n">
        <v>-22.99339514397031</v>
      </c>
      <c r="T113" s="15" t="n">
        <v>-66.7870051746474</v>
      </c>
      <c r="U113" s="16" t="n">
        <v>-29.16961009704494</v>
      </c>
      <c r="V113" s="15" t="n">
        <v>-68.40244444445538</v>
      </c>
      <c r="W113" s="15" t="n">
        <v>1034.279475982533</v>
      </c>
    </row>
    <row r="114">
      <c r="A114" s="12" t="inlineStr">
        <is>
          <t>NEPAL ZONE</t>
        </is>
      </c>
      <c r="B114" s="12" t="inlineStr">
        <is>
          <t>SOUTH ZONE RO</t>
        </is>
      </c>
      <c r="C114" s="12" t="inlineStr">
        <is>
          <t>NEPAL ZONE → SOUTH ZONE RO</t>
        </is>
      </c>
      <c r="D114" s="12" t="inlineStr">
        <is>
          <t>April</t>
        </is>
      </c>
      <c r="E114" s="13" t="n">
        <v>1</v>
      </c>
      <c r="F114" s="14" t="n">
        <v>7146</v>
      </c>
      <c r="G114" s="14" t="n">
        <v>83608.2</v>
      </c>
      <c r="H114" s="14" t="n">
        <v>138500</v>
      </c>
      <c r="I114" s="14" t="n">
        <v>54891.8</v>
      </c>
      <c r="J114" s="16" t="n">
        <v>11.7</v>
      </c>
      <c r="K114" s="16" t="n">
        <v>19.38147215225301</v>
      </c>
      <c r="L114" s="16" t="n">
        <v>7.681472152253009</v>
      </c>
      <c r="M114" s="16" t="n">
        <v>7.681472152253008</v>
      </c>
      <c r="N114" s="16" t="n">
        <v>11.7</v>
      </c>
      <c r="O114" s="16" t="n">
        <v>19.38147215225301</v>
      </c>
      <c r="P114" s="14" t="n">
        <v>7146</v>
      </c>
      <c r="Q114" s="15" t="n">
        <v>0.02280811803278297</v>
      </c>
      <c r="R114" s="15" t="n">
        <v>0.03419457234557664</v>
      </c>
      <c r="S114" s="12" t="n"/>
      <c r="T114" s="12" t="n"/>
      <c r="U114" s="12" t="n"/>
      <c r="V114" s="12" t="n"/>
      <c r="W114" s="12" t="n"/>
    </row>
    <row r="115">
      <c r="A115" s="12" t="inlineStr">
        <is>
          <t>NEPAL ZONE</t>
        </is>
      </c>
      <c r="B115" s="12" t="inlineStr">
        <is>
          <t>SOUTH ZONE RO</t>
        </is>
      </c>
      <c r="C115" s="12" t="inlineStr">
        <is>
          <t>NEPAL ZONE → SOUTH ZONE RO</t>
        </is>
      </c>
      <c r="D115" s="12" t="inlineStr">
        <is>
          <t>June</t>
        </is>
      </c>
      <c r="E115" s="13" t="n">
        <v>1</v>
      </c>
      <c r="F115" s="14" t="n">
        <v>480</v>
      </c>
      <c r="G115" s="14" t="n">
        <v>11040</v>
      </c>
      <c r="H115" s="14" t="n">
        <v>20500</v>
      </c>
      <c r="I115" s="14" t="n">
        <v>9460</v>
      </c>
      <c r="J115" s="16" t="n">
        <v>23</v>
      </c>
      <c r="K115" s="16" t="n">
        <v>42.70833333333334</v>
      </c>
      <c r="L115" s="16" t="n">
        <v>19.70833333333333</v>
      </c>
      <c r="M115" s="16" t="n">
        <v>19.70833333333334</v>
      </c>
      <c r="N115" s="16" t="n">
        <v>23</v>
      </c>
      <c r="O115" s="16" t="n">
        <v>42.70833333333334</v>
      </c>
      <c r="P115" s="14" t="n">
        <v>480</v>
      </c>
      <c r="Q115" s="15" t="n">
        <v>0.001532031437970308</v>
      </c>
      <c r="R115" s="15" t="n">
        <v>0.005061290491583546</v>
      </c>
      <c r="S115" s="16" t="n">
        <v>11.3</v>
      </c>
      <c r="T115" s="15" t="n">
        <v>96.58119658119659</v>
      </c>
      <c r="U115" s="16" t="n">
        <v>23.32686118108033</v>
      </c>
      <c r="V115" s="15" t="n">
        <v>120.3564981949459</v>
      </c>
      <c r="W115" s="15" t="n">
        <v>-93.28295549958018</v>
      </c>
    </row>
    <row r="116">
      <c r="A116" s="12" t="inlineStr">
        <is>
          <t>NEPAL ZONE</t>
        </is>
      </c>
      <c r="B116" s="12" t="inlineStr">
        <is>
          <t>SOUTH ZONE RO</t>
        </is>
      </c>
      <c r="C116" s="12" t="inlineStr">
        <is>
          <t>NEPAL ZONE → SOUTH ZONE RO</t>
        </is>
      </c>
      <c r="D116" s="12" t="inlineStr">
        <is>
          <t>July</t>
        </is>
      </c>
      <c r="E116" s="13" t="n">
        <v>1</v>
      </c>
      <c r="F116" s="14" t="n">
        <v>50</v>
      </c>
      <c r="G116" s="14" t="n">
        <v>1250</v>
      </c>
      <c r="H116" s="14" t="n">
        <v>2000</v>
      </c>
      <c r="I116" s="14" t="n">
        <v>750</v>
      </c>
      <c r="J116" s="16" t="n">
        <v>25</v>
      </c>
      <c r="K116" s="16" t="n">
        <v>40</v>
      </c>
      <c r="L116" s="16" t="n">
        <v>15</v>
      </c>
      <c r="M116" s="16" t="n">
        <v>15</v>
      </c>
      <c r="N116" s="16" t="n">
        <v>25</v>
      </c>
      <c r="O116" s="16" t="n">
        <v>40</v>
      </c>
      <c r="P116" s="14" t="n">
        <v>50</v>
      </c>
      <c r="Q116" s="15" t="n">
        <v>0.0001595866081219071</v>
      </c>
      <c r="R116" s="15" t="n">
        <v>0.0004937844382032728</v>
      </c>
      <c r="S116" s="16" t="n">
        <v>2</v>
      </c>
      <c r="T116" s="15" t="n">
        <v>8.695652173913043</v>
      </c>
      <c r="U116" s="16" t="n">
        <v>-2.708333333333336</v>
      </c>
      <c r="V116" s="15" t="n">
        <v>-6.341463414634152</v>
      </c>
      <c r="W116" s="15" t="n">
        <v>-89.58333333333333</v>
      </c>
    </row>
    <row r="117">
      <c r="A117" s="12" t="inlineStr">
        <is>
          <t>NEPAL ZONE</t>
        </is>
      </c>
      <c r="B117" s="12" t="inlineStr">
        <is>
          <t>NEPAL ZONE</t>
        </is>
      </c>
      <c r="C117" s="12" t="inlineStr">
        <is>
          <t>NEPAL ZONE → NEPAL ZONE</t>
        </is>
      </c>
      <c r="D117" s="12" t="inlineStr">
        <is>
          <t>April</t>
        </is>
      </c>
      <c r="E117" s="13" t="n">
        <v>36</v>
      </c>
      <c r="F117" s="14" t="n">
        <v>94791.34</v>
      </c>
      <c r="G117" s="14" t="n">
        <v>166401.94</v>
      </c>
      <c r="H117" s="14" t="n">
        <v>313355.36</v>
      </c>
      <c r="I117" s="14" t="n">
        <v>146953.42</v>
      </c>
      <c r="J117" s="16" t="n">
        <v>1.755455086930937</v>
      </c>
      <c r="K117" s="16" t="n">
        <v>3.305738266807917</v>
      </c>
      <c r="L117" s="16" t="n">
        <v>1.55028317987698</v>
      </c>
      <c r="M117" s="16" t="n">
        <v>1.55028317987698</v>
      </c>
      <c r="N117" s="16" t="n">
        <v>4.475229700306722</v>
      </c>
      <c r="O117" s="16" t="n">
        <v>21.12876623349756</v>
      </c>
      <c r="P117" s="14" t="n">
        <v>2633.092777777778</v>
      </c>
      <c r="Q117" s="15" t="n">
        <v>0.3025485685986092</v>
      </c>
      <c r="R117" s="15" t="n">
        <v>0.07736500019779215</v>
      </c>
      <c r="S117" s="12" t="n"/>
      <c r="T117" s="12" t="n"/>
      <c r="U117" s="12" t="n"/>
      <c r="V117" s="12" t="n"/>
      <c r="W117" s="12" t="n"/>
    </row>
    <row r="118">
      <c r="A118" s="12" t="inlineStr">
        <is>
          <t>NEPAL ZONE</t>
        </is>
      </c>
      <c r="B118" s="12" t="inlineStr">
        <is>
          <t>NEPAL ZONE</t>
        </is>
      </c>
      <c r="C118" s="12" t="inlineStr">
        <is>
          <t>NEPAL ZONE → NEPAL ZONE</t>
        </is>
      </c>
      <c r="D118" s="12" t="inlineStr">
        <is>
          <t>May</t>
        </is>
      </c>
      <c r="E118" s="13" t="n">
        <v>42</v>
      </c>
      <c r="F118" s="14" t="n">
        <v>60270</v>
      </c>
      <c r="G118" s="14" t="n">
        <v>118952.55</v>
      </c>
      <c r="H118" s="14" t="n">
        <v>273851.45</v>
      </c>
      <c r="I118" s="14" t="n">
        <v>154898.9</v>
      </c>
      <c r="J118" s="16" t="n">
        <v>1.973661025385764</v>
      </c>
      <c r="K118" s="16" t="n">
        <v>4.543743985399038</v>
      </c>
      <c r="L118" s="16" t="n">
        <v>2.570082960013274</v>
      </c>
      <c r="M118" s="16" t="n">
        <v>2.570082960013274</v>
      </c>
      <c r="N118" s="16" t="n">
        <v>5.396134046199624</v>
      </c>
      <c r="O118" s="16" t="n">
        <v>23.59498771248193</v>
      </c>
      <c r="P118" s="14" t="n">
        <v>1435</v>
      </c>
      <c r="Q118" s="15" t="n">
        <v>0.1923656974301468</v>
      </c>
      <c r="R118" s="15" t="n">
        <v>0.06761179219470083</v>
      </c>
      <c r="S118" s="16" t="n">
        <v>0.2182059384548269</v>
      </c>
      <c r="T118" s="15" t="n">
        <v>12.4301635558399</v>
      </c>
      <c r="U118" s="16" t="n">
        <v>1.238005718591121</v>
      </c>
      <c r="V118" s="15" t="n">
        <v>37.45020381745353</v>
      </c>
      <c r="W118" s="15" t="n">
        <v>-36.41824242594313</v>
      </c>
    </row>
    <row r="119">
      <c r="A119" s="12" t="inlineStr">
        <is>
          <t>NEPAL ZONE</t>
        </is>
      </c>
      <c r="B119" s="12" t="inlineStr">
        <is>
          <t>NEPAL ZONE</t>
        </is>
      </c>
      <c r="C119" s="12" t="inlineStr">
        <is>
          <t>NEPAL ZONE → NEPAL ZONE</t>
        </is>
      </c>
      <c r="D119" s="12" t="inlineStr">
        <is>
          <t>June</t>
        </is>
      </c>
      <c r="E119" s="13" t="n">
        <v>34</v>
      </c>
      <c r="F119" s="14" t="n">
        <v>59165</v>
      </c>
      <c r="G119" s="14" t="n">
        <v>131065.35</v>
      </c>
      <c r="H119" s="14" t="n">
        <v>265913.55</v>
      </c>
      <c r="I119" s="14" t="n">
        <v>134848.2</v>
      </c>
      <c r="J119" s="16" t="n">
        <v>2.215251415532832</v>
      </c>
      <c r="K119" s="16" t="n">
        <v>4.494440125073946</v>
      </c>
      <c r="L119" s="16" t="n">
        <v>2.279188709541114</v>
      </c>
      <c r="M119" s="16" t="n">
        <v>2.279188709541114</v>
      </c>
      <c r="N119" s="16" t="n">
        <v>5.660527861570957</v>
      </c>
      <c r="O119" s="16" t="n">
        <v>18.73877399586204</v>
      </c>
      <c r="P119" s="14" t="n">
        <v>1740.14705882353</v>
      </c>
      <c r="Q119" s="15" t="n">
        <v>0.1888388333906527</v>
      </c>
      <c r="R119" s="15" t="n">
        <v>0.06565198644869395</v>
      </c>
      <c r="S119" s="16" t="n">
        <v>0.241590390147068</v>
      </c>
      <c r="T119" s="15" t="n">
        <v>12.24072356091886</v>
      </c>
      <c r="U119" s="16" t="n">
        <v>-0.04930386032509215</v>
      </c>
      <c r="V119" s="15" t="n">
        <v>-1.085093272938049</v>
      </c>
      <c r="W119" s="15" t="n">
        <v>-1.833416293346607</v>
      </c>
    </row>
    <row r="120">
      <c r="A120" s="12" t="inlineStr">
        <is>
          <t>NEPAL ZONE</t>
        </is>
      </c>
      <c r="B120" s="12" t="inlineStr">
        <is>
          <t>NEPAL ZONE</t>
        </is>
      </c>
      <c r="C120" s="12" t="inlineStr">
        <is>
          <t>NEPAL ZONE → NEPAL ZONE</t>
        </is>
      </c>
      <c r="D120" s="12" t="inlineStr">
        <is>
          <t>July</t>
        </is>
      </c>
      <c r="E120" s="13" t="n">
        <v>35</v>
      </c>
      <c r="F120" s="14" t="n">
        <v>73005</v>
      </c>
      <c r="G120" s="14" t="n">
        <v>98415</v>
      </c>
      <c r="H120" s="14" t="n">
        <v>232250.01</v>
      </c>
      <c r="I120" s="14" t="n">
        <v>133835.01</v>
      </c>
      <c r="J120" s="16" t="n">
        <v>1.34805835216766</v>
      </c>
      <c r="K120" s="16" t="n">
        <v>3.181289089788371</v>
      </c>
      <c r="L120" s="16" t="n">
        <v>1.833230737620711</v>
      </c>
      <c r="M120" s="16" t="n">
        <v>1.833230737620711</v>
      </c>
      <c r="N120" s="16" t="n">
        <v>4.587258741489758</v>
      </c>
      <c r="O120" s="16" t="n">
        <v>17.74477514951178</v>
      </c>
      <c r="P120" s="14" t="n">
        <v>2085.857142857143</v>
      </c>
      <c r="Q120" s="15" t="n">
        <v>0.2330124065187966</v>
      </c>
      <c r="R120" s="15" t="n">
        <v>0.05734072035527724</v>
      </c>
      <c r="S120" s="16" t="n">
        <v>-0.8671930633651723</v>
      </c>
      <c r="T120" s="15" t="n">
        <v>-39.14648501224803</v>
      </c>
      <c r="U120" s="16" t="n">
        <v>-1.313151035285575</v>
      </c>
      <c r="V120" s="15" t="n">
        <v>-29.21723281971567</v>
      </c>
      <c r="W120" s="15" t="n">
        <v>23.39220823121778</v>
      </c>
    </row>
  </sheetData>
  <mergeCells count="2">
    <mergeCell ref="A2:W2"/>
    <mergeCell ref="A1:W1"/>
  </mergeCells>
  <conditionalFormatting sqref="J5:J120">
    <cfRule type="colorScale" priority="1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K5:K120">
    <cfRule type="colorScale" priority="2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L5:L120">
    <cfRule type="colorScale" priority="3">
      <colorScale>
        <cfvo type="min"/>
        <cfvo type="percentile" val="50"/>
        <cfvo type="max"/>
        <color rgb="00F4C7C3"/>
        <color rgb="00FFF2CC"/>
        <color rgb="00B7E1C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20" customWidth="1" min="4" max="4"/>
    <col width="24" customWidth="1" min="5" max="5"/>
    <col width="20" customWidth="1" min="6" max="6"/>
    <col width="20" customWidth="1" min="7" max="7"/>
    <col width="20" customWidth="1" min="8" max="8"/>
  </cols>
  <sheetData>
    <row r="1" ht="22" customHeight="1">
      <c r="A1" s="6" t="inlineStr">
        <is>
          <t>Base yield by OD pair and month</t>
        </is>
      </c>
    </row>
    <row r="2" ht="18" customHeight="1">
      <c r="A2" s="7" t="inlineStr">
        <is>
          <t>Blank cells mean the OD pair had no shipments that month</t>
        </is>
      </c>
    </row>
    <row r="3"/>
    <row r="4" ht="32" customHeight="1">
      <c r="A4" s="11" t="inlineStr">
        <is>
          <t>Origin zone</t>
        </is>
      </c>
      <c r="B4" s="11" t="inlineStr">
        <is>
          <t>Destination zone</t>
        </is>
      </c>
      <c r="C4" s="11" t="inlineStr">
        <is>
          <t>OD pair</t>
        </is>
      </c>
      <c r="D4" s="11" t="inlineStr">
        <is>
          <t>April</t>
        </is>
      </c>
      <c r="E4" s="11" t="inlineStr">
        <is>
          <t>May</t>
        </is>
      </c>
      <c r="F4" s="11" t="inlineStr">
        <is>
          <t>June</t>
        </is>
      </c>
      <c r="G4" s="11" t="inlineStr">
        <is>
          <t>July</t>
        </is>
      </c>
      <c r="H4" s="11" t="inlineStr">
        <is>
          <t>All months</t>
        </is>
      </c>
    </row>
    <row r="5">
      <c r="A5" s="12" t="inlineStr">
        <is>
          <t>NORTH ZONE RO</t>
        </is>
      </c>
      <c r="B5" s="12" t="inlineStr">
        <is>
          <t>NORTH ZONE RO</t>
        </is>
      </c>
      <c r="C5" s="12" t="inlineStr">
        <is>
          <t>NORTH ZONE RO → NORTH ZONE RO</t>
        </is>
      </c>
      <c r="D5" s="16" t="n">
        <v>6.922040562913907</v>
      </c>
      <c r="E5" s="16" t="n">
        <v>4.756931501806217</v>
      </c>
      <c r="F5" s="16" t="n">
        <v>5.497584756898817</v>
      </c>
      <c r="G5" s="16" t="n">
        <v>4.505454174820613</v>
      </c>
      <c r="H5" s="16" t="n">
        <v>5.14659502607925</v>
      </c>
    </row>
    <row r="6">
      <c r="A6" s="12" t="inlineStr">
        <is>
          <t>NORTH ZONE RO</t>
        </is>
      </c>
      <c r="B6" s="12" t="inlineStr">
        <is>
          <t>EAST ZONE RO</t>
        </is>
      </c>
      <c r="C6" s="12" t="inlineStr">
        <is>
          <t>NORTH ZONE RO → EAST ZONE RO</t>
        </is>
      </c>
      <c r="D6" s="16" t="n">
        <v>8.66428149938123</v>
      </c>
      <c r="E6" s="16" t="n">
        <v>8.703513715251578</v>
      </c>
      <c r="F6" s="16" t="n">
        <v>8.903579228801462</v>
      </c>
      <c r="G6" s="16" t="n">
        <v>8.419408156735958</v>
      </c>
      <c r="H6" s="16" t="n">
        <v>8.665959280998861</v>
      </c>
    </row>
    <row r="7">
      <c r="A7" s="12" t="inlineStr">
        <is>
          <t>NORTH ZONE RO</t>
        </is>
      </c>
      <c r="B7" s="12" t="inlineStr">
        <is>
          <t>WEST ZONE RO</t>
        </is>
      </c>
      <c r="C7" s="12" t="inlineStr">
        <is>
          <t>NORTH ZONE RO → WEST ZONE RO</t>
        </is>
      </c>
      <c r="D7" s="16" t="n">
        <v>7.7</v>
      </c>
      <c r="E7" s="16" t="n">
        <v>6.272424744545706</v>
      </c>
      <c r="F7" s="16" t="n">
        <v>5.20093201754386</v>
      </c>
      <c r="G7" s="16" t="n">
        <v>10.00525587828492</v>
      </c>
      <c r="H7" s="16" t="n">
        <v>6.463679228685034</v>
      </c>
    </row>
    <row r="8">
      <c r="A8" s="12" t="inlineStr">
        <is>
          <t>NORTH ZONE RO</t>
        </is>
      </c>
      <c r="B8" s="12" t="inlineStr">
        <is>
          <t>SOUTH ZONE RO</t>
        </is>
      </c>
      <c r="C8" s="12" t="inlineStr">
        <is>
          <t>NORTH ZONE RO → SOUTH ZONE RO</t>
        </is>
      </c>
      <c r="D8" s="16" t="n">
        <v>7.843398939611284</v>
      </c>
      <c r="E8" s="16" t="n">
        <v>8.670331497454017</v>
      </c>
      <c r="F8" s="16" t="n">
        <v>8.018306040836581</v>
      </c>
      <c r="G8" s="16" t="n">
        <v>7.232306388289149</v>
      </c>
      <c r="H8" s="16" t="n">
        <v>7.815826656915623</v>
      </c>
    </row>
    <row r="9">
      <c r="A9" s="12" t="inlineStr">
        <is>
          <t>NORTH ZONE RO</t>
        </is>
      </c>
      <c r="B9" s="12" t="inlineStr">
        <is>
          <t>NORTH EAST ZONE RO</t>
        </is>
      </c>
      <c r="C9" s="12" t="inlineStr">
        <is>
          <t>NORTH ZONE RO → NORTH EAST ZONE RO</t>
        </is>
      </c>
      <c r="D9" s="16" t="n">
        <v>11.582722948547</v>
      </c>
      <c r="E9" s="16" t="n">
        <v>11.53342108511881</v>
      </c>
      <c r="F9" s="16" t="n">
        <v>11.43378427462642</v>
      </c>
      <c r="G9" s="16" t="n">
        <v>11.78520420013242</v>
      </c>
      <c r="H9" s="16" t="n">
        <v>11.57991663498115</v>
      </c>
    </row>
    <row r="10">
      <c r="A10" s="12" t="inlineStr">
        <is>
          <t>NORTH ZONE RO</t>
        </is>
      </c>
      <c r="B10" s="12" t="inlineStr">
        <is>
          <t>NEPAL ZONE</t>
        </is>
      </c>
      <c r="C10" s="12" t="inlineStr">
        <is>
          <t>NORTH ZONE RO → NEPAL ZONE</t>
        </is>
      </c>
      <c r="D10" s="16" t="n">
        <v>8.502344000774231</v>
      </c>
      <c r="E10" s="16" t="n">
        <v>8.51991793701864</v>
      </c>
      <c r="F10" s="16" t="n">
        <v>8.499304322406903</v>
      </c>
      <c r="G10" s="16" t="n">
        <v>8.252152989891574</v>
      </c>
      <c r="H10" s="16" t="n">
        <v>8.441914646861898</v>
      </c>
    </row>
    <row r="11">
      <c r="A11" s="12" t="inlineStr">
        <is>
          <t>EAST ZONE RO</t>
        </is>
      </c>
      <c r="B11" s="12" t="inlineStr">
        <is>
          <t>NORTH ZONE RO</t>
        </is>
      </c>
      <c r="C11" s="12" t="inlineStr">
        <is>
          <t>EAST ZONE RO → NORTH ZONE RO</t>
        </is>
      </c>
      <c r="D11" s="16" t="n">
        <v>5.803014395139989</v>
      </c>
      <c r="E11" s="16" t="n">
        <v>6.111591283647684</v>
      </c>
      <c r="F11" s="16" t="n">
        <v>5.976242432774884</v>
      </c>
      <c r="G11" s="16" t="n">
        <v>6.424404711186581</v>
      </c>
      <c r="H11" s="16" t="n">
        <v>6.008757391642011</v>
      </c>
    </row>
    <row r="12">
      <c r="A12" s="12" t="inlineStr">
        <is>
          <t>EAST ZONE RO</t>
        </is>
      </c>
      <c r="B12" s="12" t="inlineStr">
        <is>
          <t>EAST ZONE RO</t>
        </is>
      </c>
      <c r="C12" s="12" t="inlineStr">
        <is>
          <t>EAST ZONE RO → EAST ZONE RO</t>
        </is>
      </c>
      <c r="D12" s="16" t="n">
        <v>4.50804983740789</v>
      </c>
      <c r="E12" s="16" t="n">
        <v>6.522787473217272</v>
      </c>
      <c r="F12" s="16" t="n">
        <v>6.543566148696125</v>
      </c>
      <c r="G12" s="16" t="n">
        <v>7.131074263693183</v>
      </c>
      <c r="H12" s="16" t="n">
        <v>5.942097420117469</v>
      </c>
    </row>
    <row r="13">
      <c r="A13" s="12" t="inlineStr">
        <is>
          <t>EAST ZONE RO</t>
        </is>
      </c>
      <c r="B13" s="12" t="inlineStr">
        <is>
          <t>NORTH EAST ZONE RO</t>
        </is>
      </c>
      <c r="C13" s="12" t="inlineStr">
        <is>
          <t>EAST ZONE RO → NORTH EAST ZONE RO</t>
        </is>
      </c>
      <c r="D13" s="16" t="n">
        <v>7.813807322731328</v>
      </c>
      <c r="E13" s="16" t="n">
        <v>8.243970930160218</v>
      </c>
      <c r="F13" s="16" t="n">
        <v>8.51514466667712</v>
      </c>
      <c r="G13" s="16" t="n">
        <v>8.105294019707438</v>
      </c>
      <c r="H13" s="16" t="n">
        <v>8.182080385331957</v>
      </c>
    </row>
    <row r="14">
      <c r="A14" s="12" t="inlineStr">
        <is>
          <t>EAST ZONE RO</t>
        </is>
      </c>
      <c r="B14" s="12" t="inlineStr">
        <is>
          <t>NEPAL ZONE</t>
        </is>
      </c>
      <c r="C14" s="12" t="inlineStr">
        <is>
          <t>EAST ZONE RO → NEPAL ZONE</t>
        </is>
      </c>
      <c r="D14" s="16" t="n">
        <v>8.330524123417703</v>
      </c>
      <c r="E14" s="16" t="n">
        <v>8.6138613077395</v>
      </c>
      <c r="F14" s="16" t="n">
        <v>8.151225900600558</v>
      </c>
      <c r="G14" s="16" t="n">
        <v>7.264601073773977</v>
      </c>
      <c r="H14" s="16" t="n">
        <v>8.023637326121225</v>
      </c>
    </row>
    <row r="15">
      <c r="A15" s="12" t="inlineStr">
        <is>
          <t>WEST ZONE RO</t>
        </is>
      </c>
      <c r="B15" s="12" t="inlineStr">
        <is>
          <t>NORTH ZONE RO</t>
        </is>
      </c>
      <c r="C15" s="12" t="inlineStr">
        <is>
          <t>WEST ZONE RO → NORTH ZONE RO</t>
        </is>
      </c>
      <c r="D15" s="16" t="n">
        <v>5.772138286099216</v>
      </c>
      <c r="E15" s="16" t="n">
        <v>6.156533930645429</v>
      </c>
      <c r="F15" s="16" t="n">
        <v>6.535587310269383</v>
      </c>
      <c r="G15" s="16" t="n">
        <v>7.838463505412394</v>
      </c>
      <c r="H15" s="16" t="n">
        <v>6.487377218632366</v>
      </c>
    </row>
    <row r="16">
      <c r="A16" s="12" t="inlineStr">
        <is>
          <t>WEST ZONE RO</t>
        </is>
      </c>
      <c r="B16" s="12" t="inlineStr">
        <is>
          <t>EAST ZONE RO</t>
        </is>
      </c>
      <c r="C16" s="12" t="inlineStr">
        <is>
          <t>WEST ZONE RO → EAST ZONE RO</t>
        </is>
      </c>
      <c r="D16" s="16" t="n">
        <v>11.78469182783512</v>
      </c>
      <c r="E16" s="16" t="n">
        <v>11.74313551360331</v>
      </c>
      <c r="F16" s="16" t="n">
        <v>13.36653289865093</v>
      </c>
      <c r="G16" s="16" t="n">
        <v>11.89622506520342</v>
      </c>
      <c r="H16" s="16" t="n">
        <v>12.15043970874043</v>
      </c>
    </row>
    <row r="17">
      <c r="A17" s="12" t="inlineStr">
        <is>
          <t>WEST ZONE RO</t>
        </is>
      </c>
      <c r="B17" s="12" t="inlineStr">
        <is>
          <t>WEST ZONE RO</t>
        </is>
      </c>
      <c r="C17" s="12" t="inlineStr">
        <is>
          <t>WEST ZONE RO → WEST ZONE RO</t>
        </is>
      </c>
      <c r="D17" s="16" t="n">
        <v>3.779860418743769</v>
      </c>
      <c r="E17" s="16" t="n">
        <v>4.875788436268068</v>
      </c>
      <c r="F17" s="16" t="n">
        <v>5.82969254046647</v>
      </c>
      <c r="G17" s="16" t="n">
        <v>4.008115034254311</v>
      </c>
      <c r="H17" s="16" t="n">
        <v>4.627720027622363</v>
      </c>
    </row>
    <row r="18">
      <c r="A18" s="12" t="inlineStr">
        <is>
          <t>WEST ZONE RO</t>
        </is>
      </c>
      <c r="B18" s="12" t="inlineStr">
        <is>
          <t>SOUTH ZONE RO</t>
        </is>
      </c>
      <c r="C18" s="12" t="inlineStr">
        <is>
          <t>WEST ZONE RO → SOUTH ZONE RO</t>
        </is>
      </c>
      <c r="D18" s="16" t="n">
        <v>8.13190440995319</v>
      </c>
      <c r="E18" s="16" t="n">
        <v>5.316666666666666</v>
      </c>
      <c r="F18" s="16" t="n">
        <v>5.408939530900613</v>
      </c>
      <c r="G18" s="16" t="n">
        <v>5.109558117195005</v>
      </c>
      <c r="H18" s="16" t="n">
        <v>5.785386452900075</v>
      </c>
    </row>
    <row r="19">
      <c r="A19" s="12" t="inlineStr">
        <is>
          <t>WEST ZONE RO</t>
        </is>
      </c>
      <c r="B19" s="12" t="inlineStr">
        <is>
          <t>NORTH EAST ZONE RO</t>
        </is>
      </c>
      <c r="C19" s="12" t="inlineStr">
        <is>
          <t>WEST ZONE RO → NORTH EAST ZONE RO</t>
        </is>
      </c>
      <c r="D19" s="16" t="n">
        <v>14.21771753752568</v>
      </c>
      <c r="E19" s="16" t="n">
        <v>14.09805828365095</v>
      </c>
      <c r="F19" s="16" t="n">
        <v>14.41429554808368</v>
      </c>
      <c r="G19" s="16" t="n">
        <v>14.51784699623835</v>
      </c>
      <c r="H19" s="16" t="n">
        <v>14.31686267672284</v>
      </c>
    </row>
    <row r="20">
      <c r="A20" s="12" t="inlineStr">
        <is>
          <t>WEST ZONE RO</t>
        </is>
      </c>
      <c r="B20" s="12" t="inlineStr">
        <is>
          <t>NEPAL ZONE</t>
        </is>
      </c>
      <c r="C20" s="12" t="inlineStr">
        <is>
          <t>WEST ZONE RO → NEPAL ZONE</t>
        </is>
      </c>
      <c r="D20" s="16" t="n">
        <v>12.95221842083887</v>
      </c>
      <c r="E20" s="16" t="n">
        <v>12.71214545560822</v>
      </c>
      <c r="F20" s="16" t="n">
        <v>13.36751152456323</v>
      </c>
      <c r="G20" s="16" t="n">
        <v>12.74248770897236</v>
      </c>
      <c r="H20" s="16" t="n">
        <v>12.9662974592033</v>
      </c>
    </row>
    <row r="21">
      <c r="A21" s="12" t="inlineStr">
        <is>
          <t>SOUTH ZONE RO</t>
        </is>
      </c>
      <c r="B21" s="12" t="inlineStr">
        <is>
          <t>NORTH ZONE RO</t>
        </is>
      </c>
      <c r="C21" s="12" t="inlineStr">
        <is>
          <t>SOUTH ZONE RO → NORTH ZONE RO</t>
        </is>
      </c>
      <c r="D21" s="16" t="n">
        <v>6.9168126846675</v>
      </c>
      <c r="E21" s="16" t="n">
        <v>8.085610005786265</v>
      </c>
      <c r="F21" s="16" t="n">
        <v>8.192833533960377</v>
      </c>
      <c r="G21" s="16" t="n">
        <v>7.881016570068059</v>
      </c>
      <c r="H21" s="16" t="n">
        <v>7.776283160702694</v>
      </c>
    </row>
    <row r="22">
      <c r="A22" s="12" t="inlineStr">
        <is>
          <t>SOUTH ZONE RO</t>
        </is>
      </c>
      <c r="B22" s="12" t="inlineStr">
        <is>
          <t>EAST ZONE RO</t>
        </is>
      </c>
      <c r="C22" s="12" t="inlineStr">
        <is>
          <t>SOUTH ZONE RO → EAST ZONE RO</t>
        </is>
      </c>
      <c r="D22" s="16" t="n">
        <v>10.39524483471859</v>
      </c>
      <c r="E22" s="16" t="n">
        <v>10.78796276551091</v>
      </c>
      <c r="F22" s="16" t="n">
        <v>12.39520740661532</v>
      </c>
      <c r="G22" s="16" t="n">
        <v>9.525543260542504</v>
      </c>
      <c r="H22" s="16" t="n">
        <v>10.72228377098452</v>
      </c>
    </row>
    <row r="23">
      <c r="A23" s="12" t="inlineStr">
        <is>
          <t>SOUTH ZONE RO</t>
        </is>
      </c>
      <c r="B23" s="12" t="inlineStr">
        <is>
          <t>WEST ZONE RO</t>
        </is>
      </c>
      <c r="C23" s="12" t="inlineStr">
        <is>
          <t>SOUTH ZONE RO → WEST ZONE RO</t>
        </is>
      </c>
      <c r="D23" s="16" t="n">
        <v>5.6</v>
      </c>
      <c r="E23" s="16" t="n">
        <v>6.333333333333333</v>
      </c>
      <c r="F23" s="16" t="n">
        <v>3.18</v>
      </c>
      <c r="G23" s="16" t="n">
        <v>6.305914293562861</v>
      </c>
      <c r="H23" s="16" t="n">
        <v>5.980722652595338</v>
      </c>
    </row>
    <row r="24">
      <c r="A24" s="12" t="inlineStr">
        <is>
          <t>SOUTH ZONE RO</t>
        </is>
      </c>
      <c r="B24" s="12" t="inlineStr">
        <is>
          <t>SOUTH ZONE RO</t>
        </is>
      </c>
      <c r="C24" s="12" t="inlineStr">
        <is>
          <t>SOUTH ZONE RO → SOUTH ZONE RO</t>
        </is>
      </c>
      <c r="D24" s="16" t="n">
        <v>4.71</v>
      </c>
      <c r="E24" s="16" t="n">
        <v>6.670378619153674</v>
      </c>
      <c r="F24" s="16" t="n">
        <v>4.091071428571428</v>
      </c>
      <c r="G24" s="16" t="n">
        <v>6.087634082169601</v>
      </c>
      <c r="H24" s="16" t="n">
        <v>5.490261445370476</v>
      </c>
    </row>
    <row r="25">
      <c r="A25" s="12" t="inlineStr">
        <is>
          <t>SOUTH ZONE RO</t>
        </is>
      </c>
      <c r="B25" s="12" t="inlineStr">
        <is>
          <t>NORTH EAST ZONE RO</t>
        </is>
      </c>
      <c r="C25" s="12" t="inlineStr">
        <is>
          <t>SOUTH ZONE RO → NORTH EAST ZONE RO</t>
        </is>
      </c>
      <c r="D25" s="16" t="n">
        <v>14.84437138321167</v>
      </c>
      <c r="E25" s="16" t="n">
        <v>14.66220570755047</v>
      </c>
      <c r="F25" s="16" t="n">
        <v>14.53329740687403</v>
      </c>
      <c r="G25" s="16" t="n">
        <v>15.44081466230673</v>
      </c>
      <c r="H25" s="16" t="n">
        <v>14.88884407297807</v>
      </c>
    </row>
    <row r="26">
      <c r="A26" s="12" t="inlineStr">
        <is>
          <t>SOUTH ZONE RO</t>
        </is>
      </c>
      <c r="B26" s="12" t="inlineStr">
        <is>
          <t>NEPAL ZONE</t>
        </is>
      </c>
      <c r="C26" s="12" t="inlineStr">
        <is>
          <t>SOUTH ZONE RO → NEPAL ZONE</t>
        </is>
      </c>
      <c r="D26" s="16" t="n">
        <v>15.12312037204049</v>
      </c>
      <c r="E26" s="16" t="n">
        <v>15.73491930939585</v>
      </c>
      <c r="F26" s="16" t="n">
        <v>15.84865565380824</v>
      </c>
      <c r="G26" s="16" t="n">
        <v>15.38073184967138</v>
      </c>
      <c r="H26" s="16" t="n">
        <v>15.54677399293813</v>
      </c>
    </row>
    <row r="27">
      <c r="A27" s="12" t="inlineStr">
        <is>
          <t>NORTH EAST ZONE RO</t>
        </is>
      </c>
      <c r="B27" s="12" t="inlineStr">
        <is>
          <t>NORTH ZONE RO</t>
        </is>
      </c>
      <c r="C27" s="12" t="inlineStr">
        <is>
          <t>NORTH EAST ZONE RO → NORTH ZONE RO</t>
        </is>
      </c>
      <c r="D27" s="16" t="n">
        <v>15</v>
      </c>
      <c r="E27" s="16" t="n">
        <v>21.5</v>
      </c>
      <c r="F27" s="16" t="n">
        <v>6.4</v>
      </c>
      <c r="G27" s="16" t="n">
        <v>5.114395886889461</v>
      </c>
      <c r="H27" s="16" t="n">
        <v>5.25580547112462</v>
      </c>
    </row>
    <row r="28">
      <c r="A28" s="12" t="inlineStr">
        <is>
          <t>NORTH EAST ZONE RO</t>
        </is>
      </c>
      <c r="B28" s="12" t="inlineStr">
        <is>
          <t>EAST ZONE RO</t>
        </is>
      </c>
      <c r="C28" s="12" t="inlineStr">
        <is>
          <t>NORTH EAST ZONE RO → EAST ZONE RO</t>
        </is>
      </c>
      <c r="D28" s="12" t="n"/>
      <c r="E28" s="16" t="n">
        <v>3.947058823529412</v>
      </c>
      <c r="F28" s="16" t="n">
        <v>13.3709341117598</v>
      </c>
      <c r="G28" s="12" t="n"/>
      <c r="H28" s="16" t="n">
        <v>6.403946510110893</v>
      </c>
    </row>
    <row r="29">
      <c r="A29" s="12" t="inlineStr">
        <is>
          <t>NORTH EAST ZONE RO</t>
        </is>
      </c>
      <c r="B29" s="12" t="inlineStr">
        <is>
          <t>WEST ZONE RO</t>
        </is>
      </c>
      <c r="C29" s="12" t="inlineStr">
        <is>
          <t>NORTH EAST ZONE RO → WEST ZONE RO</t>
        </is>
      </c>
      <c r="D29" s="12" t="n"/>
      <c r="E29" s="16" t="n">
        <v>25</v>
      </c>
      <c r="F29" s="16" t="n">
        <v>30</v>
      </c>
      <c r="G29" s="12" t="n"/>
      <c r="H29" s="16" t="n">
        <v>25.07829977628635</v>
      </c>
    </row>
    <row r="30">
      <c r="A30" s="12" t="inlineStr">
        <is>
          <t>NORTH EAST ZONE RO</t>
        </is>
      </c>
      <c r="B30" s="12" t="inlineStr">
        <is>
          <t>SOUTH ZONE RO</t>
        </is>
      </c>
      <c r="C30" s="12" t="inlineStr">
        <is>
          <t>NORTH EAST ZONE RO → SOUTH ZONE RO</t>
        </is>
      </c>
      <c r="D30" s="16" t="n">
        <v>26.47058823529412</v>
      </c>
      <c r="E30" s="12" t="n"/>
      <c r="F30" s="12" t="n"/>
      <c r="G30" s="12" t="n"/>
      <c r="H30" s="16" t="n">
        <v>26.47058823529412</v>
      </c>
    </row>
    <row r="31">
      <c r="A31" s="12" t="inlineStr">
        <is>
          <t>NORTH EAST ZONE RO</t>
        </is>
      </c>
      <c r="B31" s="12" t="inlineStr">
        <is>
          <t>NORTH EAST ZONE RO</t>
        </is>
      </c>
      <c r="C31" s="12" t="inlineStr">
        <is>
          <t>NORTH EAST ZONE RO → NORTH EAST ZONE RO</t>
        </is>
      </c>
      <c r="D31" s="16" t="n">
        <v>6.156446306447766</v>
      </c>
      <c r="E31" s="16" t="n">
        <v>5.886568302123754</v>
      </c>
      <c r="F31" s="16" t="n">
        <v>5.758258980153196</v>
      </c>
      <c r="G31" s="16" t="n">
        <v>5.630076839352098</v>
      </c>
      <c r="H31" s="16" t="n">
        <v>5.883146542373554</v>
      </c>
    </row>
    <row r="32">
      <c r="A32" s="12" t="inlineStr">
        <is>
          <t>NEPAL ZONE</t>
        </is>
      </c>
      <c r="B32" s="12" t="inlineStr">
        <is>
          <t>NORTH ZONE RO</t>
        </is>
      </c>
      <c r="C32" s="12" t="inlineStr">
        <is>
          <t>NEPAL ZONE → NORTH ZONE RO</t>
        </is>
      </c>
      <c r="D32" s="12" t="n"/>
      <c r="E32" s="16" t="n">
        <v>0.000304305928893848</v>
      </c>
      <c r="F32" s="16" t="n">
        <v>0</v>
      </c>
      <c r="G32" s="16" t="n">
        <v>10.53974895397489</v>
      </c>
      <c r="H32" s="16" t="n">
        <v>0.5597459132906895</v>
      </c>
    </row>
    <row r="33">
      <c r="A33" s="12" t="inlineStr">
        <is>
          <t>NEPAL ZONE</t>
        </is>
      </c>
      <c r="B33" s="12" t="inlineStr">
        <is>
          <t>EAST ZONE RO</t>
        </is>
      </c>
      <c r="C33" s="12" t="inlineStr">
        <is>
          <t>NEPAL ZONE → EAST ZONE RO</t>
        </is>
      </c>
      <c r="D33" s="12" t="n"/>
      <c r="E33" s="16" t="n">
        <v>17</v>
      </c>
      <c r="F33" s="16" t="n">
        <v>5</v>
      </c>
      <c r="G33" s="12" t="n"/>
      <c r="H33" s="16" t="n">
        <v>16.16279069767442</v>
      </c>
    </row>
    <row r="34">
      <c r="A34" s="12" t="inlineStr">
        <is>
          <t>NEPAL ZONE</t>
        </is>
      </c>
      <c r="B34" s="12" t="inlineStr">
        <is>
          <t>WEST ZONE RO</t>
        </is>
      </c>
      <c r="C34" s="12" t="inlineStr">
        <is>
          <t>NEPAL ZONE → WEST ZONE RO</t>
        </is>
      </c>
      <c r="D34" s="12" t="n"/>
      <c r="E34" s="16" t="n">
        <v>30</v>
      </c>
      <c r="F34" s="16" t="n">
        <v>34.42794759825328</v>
      </c>
      <c r="G34" s="16" t="n">
        <v>11.43455245428297</v>
      </c>
      <c r="H34" s="16" t="n">
        <v>15.39979897943405</v>
      </c>
    </row>
    <row r="35">
      <c r="A35" s="12" t="inlineStr">
        <is>
          <t>NEPAL ZONE</t>
        </is>
      </c>
      <c r="B35" s="12" t="inlineStr">
        <is>
          <t>SOUTH ZONE RO</t>
        </is>
      </c>
      <c r="C35" s="12" t="inlineStr">
        <is>
          <t>NEPAL ZONE → SOUTH ZONE RO</t>
        </is>
      </c>
      <c r="D35" s="16" t="n">
        <v>11.7</v>
      </c>
      <c r="E35" s="12" t="n"/>
      <c r="F35" s="16" t="n">
        <v>23</v>
      </c>
      <c r="G35" s="16" t="n">
        <v>25</v>
      </c>
      <c r="H35" s="16" t="n">
        <v>12.49325169359041</v>
      </c>
    </row>
    <row r="36">
      <c r="A36" s="12" t="inlineStr">
        <is>
          <t>NEPAL ZONE</t>
        </is>
      </c>
      <c r="B36" s="12" t="inlineStr">
        <is>
          <t>NEPAL ZONE</t>
        </is>
      </c>
      <c r="C36" s="12" t="inlineStr">
        <is>
          <t>NEPAL ZONE → NEPAL ZONE</t>
        </is>
      </c>
      <c r="D36" s="16" t="n">
        <v>1.755455086930937</v>
      </c>
      <c r="E36" s="16" t="n">
        <v>1.973661025385764</v>
      </c>
      <c r="F36" s="16" t="n">
        <v>2.215251415532832</v>
      </c>
      <c r="G36" s="16" t="n">
        <v>1.34805835216766</v>
      </c>
      <c r="H36" s="16" t="n">
        <v>1.792404826019333</v>
      </c>
    </row>
  </sheetData>
  <mergeCells count="2">
    <mergeCell ref="A2:H2"/>
    <mergeCell ref="A1:H1"/>
  </mergeCells>
  <conditionalFormatting sqref="D5:D36">
    <cfRule type="colorScale" priority="1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E5:E36">
    <cfRule type="colorScale" priority="2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F5:F36">
    <cfRule type="colorScale" priority="3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G5:G36">
    <cfRule type="colorScale" priority="4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H5:H36">
    <cfRule type="colorScale" priority="5">
      <colorScale>
        <cfvo type="min"/>
        <cfvo type="percentile" val="50"/>
        <cfvo type="max"/>
        <color rgb="00F4C7C3"/>
        <color rgb="00FFF2CC"/>
        <color rgb="00B7E1C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 ht="22" customHeight="1">
      <c r="A1" s="6" t="inlineStr">
        <is>
          <t>Total yield by OD pair and month</t>
        </is>
      </c>
    </row>
    <row r="2" ht="18" customHeight="1">
      <c r="A2" s="7" t="inlineStr">
        <is>
          <t>Blank cells mean the OD pair had no shipments that month</t>
        </is>
      </c>
    </row>
    <row r="3"/>
    <row r="4" ht="32" customHeight="1">
      <c r="A4" s="11" t="inlineStr">
        <is>
          <t>Origin zone</t>
        </is>
      </c>
      <c r="B4" s="11" t="inlineStr">
        <is>
          <t>Destination zone</t>
        </is>
      </c>
      <c r="C4" s="11" t="inlineStr">
        <is>
          <t>OD pair</t>
        </is>
      </c>
      <c r="D4" s="11" t="inlineStr">
        <is>
          <t>April</t>
        </is>
      </c>
      <c r="E4" s="11" t="inlineStr">
        <is>
          <t>May</t>
        </is>
      </c>
      <c r="F4" s="11" t="inlineStr">
        <is>
          <t>June</t>
        </is>
      </c>
      <c r="G4" s="11" t="inlineStr">
        <is>
          <t>July</t>
        </is>
      </c>
      <c r="H4" s="11" t="inlineStr">
        <is>
          <t>All months</t>
        </is>
      </c>
    </row>
    <row r="5">
      <c r="A5" s="12" t="inlineStr">
        <is>
          <t>NORTH ZONE RO</t>
        </is>
      </c>
      <c r="B5" s="12" t="inlineStr">
        <is>
          <t>NORTH ZONE RO</t>
        </is>
      </c>
      <c r="C5" s="12" t="inlineStr">
        <is>
          <t>NORTH ZONE RO → NORTH ZONE RO</t>
        </is>
      </c>
      <c r="D5" s="16" t="n">
        <v>8.977343129139072</v>
      </c>
      <c r="E5" s="16" t="n">
        <v>6.210723637284002</v>
      </c>
      <c r="F5" s="16" t="n">
        <v>7.138596846254927</v>
      </c>
      <c r="G5" s="16" t="n">
        <v>5.208340182648402</v>
      </c>
      <c r="H5" s="16" t="n">
        <v>6.454335263577079</v>
      </c>
    </row>
    <row r="6">
      <c r="A6" s="12" t="inlineStr">
        <is>
          <t>NORTH ZONE RO</t>
        </is>
      </c>
      <c r="B6" s="12" t="inlineStr">
        <is>
          <t>EAST ZONE RO</t>
        </is>
      </c>
      <c r="C6" s="12" t="inlineStr">
        <is>
          <t>NORTH ZONE RO → EAST ZONE RO</t>
        </is>
      </c>
      <c r="D6" s="16" t="n">
        <v>10.78621896844453</v>
      </c>
      <c r="E6" s="16" t="n">
        <v>11.10759766233948</v>
      </c>
      <c r="F6" s="16" t="n">
        <v>11.40839994874682</v>
      </c>
      <c r="G6" s="16" t="n">
        <v>10.51091644004389</v>
      </c>
      <c r="H6" s="16" t="n">
        <v>10.93821989940702</v>
      </c>
    </row>
    <row r="7">
      <c r="A7" s="12" t="inlineStr">
        <is>
          <t>NORTH ZONE RO</t>
        </is>
      </c>
      <c r="B7" s="12" t="inlineStr">
        <is>
          <t>WEST ZONE RO</t>
        </is>
      </c>
      <c r="C7" s="12" t="inlineStr">
        <is>
          <t>NORTH ZONE RO → WEST ZONE RO</t>
        </is>
      </c>
      <c r="D7" s="16" t="n">
        <v>8.333333333333334</v>
      </c>
      <c r="E7" s="16" t="n">
        <v>6.91371858602596</v>
      </c>
      <c r="F7" s="16" t="n">
        <v>6.015953947368421</v>
      </c>
      <c r="G7" s="16" t="n">
        <v>11.6478561549101</v>
      </c>
      <c r="H7" s="16" t="n">
        <v>7.287758189943347</v>
      </c>
    </row>
    <row r="8">
      <c r="A8" s="12" t="inlineStr">
        <is>
          <t>NORTH ZONE RO</t>
        </is>
      </c>
      <c r="B8" s="12" t="inlineStr">
        <is>
          <t>SOUTH ZONE RO</t>
        </is>
      </c>
      <c r="C8" s="12" t="inlineStr">
        <is>
          <t>NORTH ZONE RO → SOUTH ZONE RO</t>
        </is>
      </c>
      <c r="D8" s="16" t="n">
        <v>8.80953351334627</v>
      </c>
      <c r="E8" s="16" t="n">
        <v>10.31199868370917</v>
      </c>
      <c r="F8" s="16" t="n">
        <v>9.81198600347359</v>
      </c>
      <c r="G8" s="16" t="n">
        <v>8.274628348343706</v>
      </c>
      <c r="H8" s="16" t="n">
        <v>9.12148955114727</v>
      </c>
    </row>
    <row r="9">
      <c r="A9" s="12" t="inlineStr">
        <is>
          <t>NORTH ZONE RO</t>
        </is>
      </c>
      <c r="B9" s="12" t="inlineStr">
        <is>
          <t>NORTH EAST ZONE RO</t>
        </is>
      </c>
      <c r="C9" s="12" t="inlineStr">
        <is>
          <t>NORTH ZONE RO → NORTH EAST ZONE RO</t>
        </is>
      </c>
      <c r="D9" s="16" t="n">
        <v>13.38259633379544</v>
      </c>
      <c r="E9" s="16" t="n">
        <v>13.41238705673817</v>
      </c>
      <c r="F9" s="16" t="n">
        <v>13.81043188328321</v>
      </c>
      <c r="G9" s="16" t="n">
        <v>14.36390462551851</v>
      </c>
      <c r="H9" s="16" t="n">
        <v>13.74181634587582</v>
      </c>
    </row>
    <row r="10">
      <c r="A10" s="12" t="inlineStr">
        <is>
          <t>NORTH ZONE RO</t>
        </is>
      </c>
      <c r="B10" s="12" t="inlineStr">
        <is>
          <t>NEPAL ZONE</t>
        </is>
      </c>
      <c r="C10" s="12" t="inlineStr">
        <is>
          <t>NORTH ZONE RO → NEPAL ZONE</t>
        </is>
      </c>
      <c r="D10" s="16" t="n">
        <v>10.6562025403952</v>
      </c>
      <c r="E10" s="16" t="n">
        <v>10.85109685799508</v>
      </c>
      <c r="F10" s="16" t="n">
        <v>11.18876068750504</v>
      </c>
      <c r="G10" s="16" t="n">
        <v>10.70281556292769</v>
      </c>
      <c r="H10" s="16" t="n">
        <v>10.84925855992905</v>
      </c>
    </row>
    <row r="11">
      <c r="A11" s="12" t="inlineStr">
        <is>
          <t>EAST ZONE RO</t>
        </is>
      </c>
      <c r="B11" s="12" t="inlineStr">
        <is>
          <t>NORTH ZONE RO</t>
        </is>
      </c>
      <c r="C11" s="12" t="inlineStr">
        <is>
          <t>EAST ZONE RO → NORTH ZONE RO</t>
        </is>
      </c>
      <c r="D11" s="16" t="n">
        <v>6.626279934847685</v>
      </c>
      <c r="E11" s="16" t="n">
        <v>7.448022340230727</v>
      </c>
      <c r="F11" s="16" t="n">
        <v>7.032602421512038</v>
      </c>
      <c r="G11" s="16" t="n">
        <v>7.790801499462161</v>
      </c>
      <c r="H11" s="16" t="n">
        <v>7.062145283703009</v>
      </c>
    </row>
    <row r="12">
      <c r="A12" s="12" t="inlineStr">
        <is>
          <t>EAST ZONE RO</t>
        </is>
      </c>
      <c r="B12" s="12" t="inlineStr">
        <is>
          <t>EAST ZONE RO</t>
        </is>
      </c>
      <c r="C12" s="12" t="inlineStr">
        <is>
          <t>EAST ZONE RO → EAST ZONE RO</t>
        </is>
      </c>
      <c r="D12" s="16" t="n">
        <v>7.257201136642635</v>
      </c>
      <c r="E12" s="16" t="n">
        <v>11.6793981786375</v>
      </c>
      <c r="F12" s="16" t="n">
        <v>10.87960375473633</v>
      </c>
      <c r="G12" s="16" t="n">
        <v>12.72125116598948</v>
      </c>
      <c r="H12" s="16" t="n">
        <v>10.17739204640125</v>
      </c>
    </row>
    <row r="13">
      <c r="A13" s="12" t="inlineStr">
        <is>
          <t>EAST ZONE RO</t>
        </is>
      </c>
      <c r="B13" s="12" t="inlineStr">
        <is>
          <t>NORTH EAST ZONE RO</t>
        </is>
      </c>
      <c r="C13" s="12" t="inlineStr">
        <is>
          <t>EAST ZONE RO → NORTH EAST ZONE RO</t>
        </is>
      </c>
      <c r="D13" s="16" t="n">
        <v>9.345845801681248</v>
      </c>
      <c r="E13" s="16" t="n">
        <v>10.22147861427907</v>
      </c>
      <c r="F13" s="16" t="n">
        <v>10.54876717427472</v>
      </c>
      <c r="G13" s="16" t="n">
        <v>10.47721687894549</v>
      </c>
      <c r="H13" s="16" t="n">
        <v>10.19266130354715</v>
      </c>
    </row>
    <row r="14">
      <c r="A14" s="12" t="inlineStr">
        <is>
          <t>EAST ZONE RO</t>
        </is>
      </c>
      <c r="B14" s="12" t="inlineStr">
        <is>
          <t>NEPAL ZONE</t>
        </is>
      </c>
      <c r="C14" s="12" t="inlineStr">
        <is>
          <t>EAST ZONE RO → NEPAL ZONE</t>
        </is>
      </c>
      <c r="D14" s="16" t="n">
        <v>11.61240100627129</v>
      </c>
      <c r="E14" s="16" t="n">
        <v>12.01493482206842</v>
      </c>
      <c r="F14" s="16" t="n">
        <v>12.17803757507552</v>
      </c>
      <c r="G14" s="16" t="n">
        <v>9.959321313345212</v>
      </c>
      <c r="H14" s="16" t="n">
        <v>11.30181406961467</v>
      </c>
    </row>
    <row r="15">
      <c r="A15" s="12" t="inlineStr">
        <is>
          <t>WEST ZONE RO</t>
        </is>
      </c>
      <c r="B15" s="12" t="inlineStr">
        <is>
          <t>NORTH ZONE RO</t>
        </is>
      </c>
      <c r="C15" s="12" t="inlineStr">
        <is>
          <t>WEST ZONE RO → NORTH ZONE RO</t>
        </is>
      </c>
      <c r="D15" s="16" t="n">
        <v>6.92801472357215</v>
      </c>
      <c r="E15" s="16" t="n">
        <v>7.198991040318567</v>
      </c>
      <c r="F15" s="16" t="n">
        <v>8.038720999133963</v>
      </c>
      <c r="G15" s="16" t="n">
        <v>10.23430974230758</v>
      </c>
      <c r="H15" s="16" t="n">
        <v>7.930933166031917</v>
      </c>
    </row>
    <row r="16">
      <c r="A16" s="12" t="inlineStr">
        <is>
          <t>WEST ZONE RO</t>
        </is>
      </c>
      <c r="B16" s="12" t="inlineStr">
        <is>
          <t>EAST ZONE RO</t>
        </is>
      </c>
      <c r="C16" s="12" t="inlineStr">
        <is>
          <t>WEST ZONE RO → EAST ZONE RO</t>
        </is>
      </c>
      <c r="D16" s="16" t="n">
        <v>14.77263528865221</v>
      </c>
      <c r="E16" s="16" t="n">
        <v>15.13712907251589</v>
      </c>
      <c r="F16" s="16" t="n">
        <v>18.48574130501198</v>
      </c>
      <c r="G16" s="16" t="n">
        <v>15.67551404112111</v>
      </c>
      <c r="H16" s="16" t="n">
        <v>15.89794408033712</v>
      </c>
    </row>
    <row r="17">
      <c r="A17" s="12" t="inlineStr">
        <is>
          <t>WEST ZONE RO</t>
        </is>
      </c>
      <c r="B17" s="12" t="inlineStr">
        <is>
          <t>WEST ZONE RO</t>
        </is>
      </c>
      <c r="C17" s="12" t="inlineStr">
        <is>
          <t>WEST ZONE RO → WEST ZONE RO</t>
        </is>
      </c>
      <c r="D17" s="16" t="n">
        <v>5.193220338983051</v>
      </c>
      <c r="E17" s="16" t="n">
        <v>6.830444480946124</v>
      </c>
      <c r="F17" s="16" t="n">
        <v>7.534528533500813</v>
      </c>
      <c r="G17" s="16" t="n">
        <v>5.503068583904239</v>
      </c>
      <c r="H17" s="16" t="n">
        <v>6.267317037078795</v>
      </c>
    </row>
    <row r="18">
      <c r="A18" s="12" t="inlineStr">
        <is>
          <t>WEST ZONE RO</t>
        </is>
      </c>
      <c r="B18" s="12" t="inlineStr">
        <is>
          <t>SOUTH ZONE RO</t>
        </is>
      </c>
      <c r="C18" s="12" t="inlineStr">
        <is>
          <t>WEST ZONE RO → SOUTH ZONE RO</t>
        </is>
      </c>
      <c r="D18" s="16" t="n">
        <v>9.45060359694506</v>
      </c>
      <c r="E18" s="16" t="n">
        <v>7.538461538461538</v>
      </c>
      <c r="F18" s="16" t="n">
        <v>6.755792378324373</v>
      </c>
      <c r="G18" s="16" t="n">
        <v>7.195004803073967</v>
      </c>
      <c r="H18" s="16" t="n">
        <v>7.463340878387446</v>
      </c>
    </row>
    <row r="19">
      <c r="A19" s="12" t="inlineStr">
        <is>
          <t>WEST ZONE RO</t>
        </is>
      </c>
      <c r="B19" s="12" t="inlineStr">
        <is>
          <t>NORTH EAST ZONE RO</t>
        </is>
      </c>
      <c r="C19" s="12" t="inlineStr">
        <is>
          <t>WEST ZONE RO → NORTH EAST ZONE RO</t>
        </is>
      </c>
      <c r="D19" s="16" t="n">
        <v>16.40298762281399</v>
      </c>
      <c r="E19" s="16" t="n">
        <v>16.40848983285425</v>
      </c>
      <c r="F19" s="16" t="n">
        <v>17.39155540541355</v>
      </c>
      <c r="G19" s="16" t="n">
        <v>17.67951235737366</v>
      </c>
      <c r="H19" s="16" t="n">
        <v>17.00094242357454</v>
      </c>
    </row>
    <row r="20">
      <c r="A20" s="12" t="inlineStr">
        <is>
          <t>WEST ZONE RO</t>
        </is>
      </c>
      <c r="B20" s="12" t="inlineStr">
        <is>
          <t>NEPAL ZONE</t>
        </is>
      </c>
      <c r="C20" s="12" t="inlineStr">
        <is>
          <t>WEST ZONE RO → NEPAL ZONE</t>
        </is>
      </c>
      <c r="D20" s="16" t="n">
        <v>16.61426842697177</v>
      </c>
      <c r="E20" s="16" t="n">
        <v>16.22601534729658</v>
      </c>
      <c r="F20" s="16" t="n">
        <v>17.62466517877175</v>
      </c>
      <c r="G20" s="16" t="n">
        <v>16.71932421694036</v>
      </c>
      <c r="H20" s="16" t="n">
        <v>16.83755374474892</v>
      </c>
    </row>
    <row r="21">
      <c r="A21" s="12" t="inlineStr">
        <is>
          <t>SOUTH ZONE RO</t>
        </is>
      </c>
      <c r="B21" s="12" t="inlineStr">
        <is>
          <t>NORTH ZONE RO</t>
        </is>
      </c>
      <c r="C21" s="12" t="inlineStr">
        <is>
          <t>SOUTH ZONE RO → NORTH ZONE RO</t>
        </is>
      </c>
      <c r="D21" s="16" t="n">
        <v>8.602154301762106</v>
      </c>
      <c r="E21" s="16" t="n">
        <v>10.07104953932434</v>
      </c>
      <c r="F21" s="16" t="n">
        <v>11.23027951767898</v>
      </c>
      <c r="G21" s="16" t="n">
        <v>9.349795579711888</v>
      </c>
      <c r="H21" s="16" t="n">
        <v>9.888434941859478</v>
      </c>
    </row>
    <row r="22">
      <c r="A22" s="12" t="inlineStr">
        <is>
          <t>SOUTH ZONE RO</t>
        </is>
      </c>
      <c r="B22" s="12" t="inlineStr">
        <is>
          <t>EAST ZONE RO</t>
        </is>
      </c>
      <c r="C22" s="12" t="inlineStr">
        <is>
          <t>SOUTH ZONE RO → EAST ZONE RO</t>
        </is>
      </c>
      <c r="D22" s="16" t="n">
        <v>13.3875344655486</v>
      </c>
      <c r="E22" s="16" t="n">
        <v>14.77780944872924</v>
      </c>
      <c r="F22" s="16" t="n">
        <v>17.41843975506616</v>
      </c>
      <c r="G22" s="16" t="n">
        <v>12.84743178641693</v>
      </c>
      <c r="H22" s="16" t="n">
        <v>14.46427070655684</v>
      </c>
    </row>
    <row r="23">
      <c r="A23" s="12" t="inlineStr">
        <is>
          <t>SOUTH ZONE RO</t>
        </is>
      </c>
      <c r="B23" s="12" t="inlineStr">
        <is>
          <t>WEST ZONE RO</t>
        </is>
      </c>
      <c r="C23" s="12" t="inlineStr">
        <is>
          <t>SOUTH ZONE RO → WEST ZONE RO</t>
        </is>
      </c>
      <c r="D23" s="16" t="n">
        <v>6.400044444444444</v>
      </c>
      <c r="E23" s="16" t="n">
        <v>9.462</v>
      </c>
      <c r="F23" s="16" t="n">
        <v>3.875</v>
      </c>
      <c r="G23" s="16" t="n">
        <v>8.771933888838019</v>
      </c>
      <c r="H23" s="16" t="n">
        <v>7.981388795329516</v>
      </c>
    </row>
    <row r="24">
      <c r="A24" s="12" t="inlineStr">
        <is>
          <t>SOUTH ZONE RO</t>
        </is>
      </c>
      <c r="B24" s="12" t="inlineStr">
        <is>
          <t>SOUTH ZONE RO</t>
        </is>
      </c>
      <c r="C24" s="12" t="inlineStr">
        <is>
          <t>SOUTH ZONE RO → SOUTH ZONE RO</t>
        </is>
      </c>
      <c r="D24" s="16" t="n">
        <v>7.689333333333334</v>
      </c>
      <c r="E24" s="16" t="n">
        <v>8.959610244988864</v>
      </c>
      <c r="F24" s="16" t="n">
        <v>5.089241071428572</v>
      </c>
      <c r="G24" s="16" t="n">
        <v>8.395160898603521</v>
      </c>
      <c r="H24" s="16" t="n">
        <v>7.386552688663089</v>
      </c>
    </row>
    <row r="25">
      <c r="A25" s="12" t="inlineStr">
        <is>
          <t>SOUTH ZONE RO</t>
        </is>
      </c>
      <c r="B25" s="12" t="inlineStr">
        <is>
          <t>NORTH EAST ZONE RO</t>
        </is>
      </c>
      <c r="C25" s="12" t="inlineStr">
        <is>
          <t>SOUTH ZONE RO → NORTH EAST ZONE RO</t>
        </is>
      </c>
      <c r="D25" s="16" t="n">
        <v>17.14881207238594</v>
      </c>
      <c r="E25" s="16" t="n">
        <v>17.42703804700688</v>
      </c>
      <c r="F25" s="16" t="n">
        <v>17.4339871031655</v>
      </c>
      <c r="G25" s="16" t="n">
        <v>18.62102175931533</v>
      </c>
      <c r="H25" s="16" t="n">
        <v>17.64279860110482</v>
      </c>
    </row>
    <row r="26">
      <c r="A26" s="12" t="inlineStr">
        <is>
          <t>SOUTH ZONE RO</t>
        </is>
      </c>
      <c r="B26" s="12" t="inlineStr">
        <is>
          <t>NEPAL ZONE</t>
        </is>
      </c>
      <c r="C26" s="12" t="inlineStr">
        <is>
          <t>SOUTH ZONE RO → NEPAL ZONE</t>
        </is>
      </c>
      <c r="D26" s="16" t="n">
        <v>19.73115115756031</v>
      </c>
      <c r="E26" s="16" t="n">
        <v>20.85652950628872</v>
      </c>
      <c r="F26" s="16" t="n">
        <v>21.96862471510525</v>
      </c>
      <c r="G26" s="16" t="n">
        <v>20.62046193952327</v>
      </c>
      <c r="H26" s="16" t="n">
        <v>20.83971856266622</v>
      </c>
    </row>
    <row r="27">
      <c r="A27" s="12" t="inlineStr">
        <is>
          <t>NORTH EAST ZONE RO</t>
        </is>
      </c>
      <c r="B27" s="12" t="inlineStr">
        <is>
          <t>NORTH ZONE RO</t>
        </is>
      </c>
      <c r="C27" s="12" t="inlineStr">
        <is>
          <t>NORTH EAST ZONE RO → NORTH ZONE RO</t>
        </is>
      </c>
      <c r="D27" s="16" t="n">
        <v>25</v>
      </c>
      <c r="E27" s="16" t="n">
        <v>27.36842105263158</v>
      </c>
      <c r="F27" s="16" t="n">
        <v>7.520987654320987</v>
      </c>
      <c r="G27" s="16" t="n">
        <v>5.847686375321337</v>
      </c>
      <c r="H27" s="16" t="n">
        <v>6.034164133738602</v>
      </c>
    </row>
    <row r="28">
      <c r="A28" s="12" t="inlineStr">
        <is>
          <t>NORTH EAST ZONE RO</t>
        </is>
      </c>
      <c r="B28" s="12" t="inlineStr">
        <is>
          <t>EAST ZONE RO</t>
        </is>
      </c>
      <c r="C28" s="12" t="inlineStr">
        <is>
          <t>NORTH EAST ZONE RO → EAST ZONE RO</t>
        </is>
      </c>
      <c r="D28" s="12" t="n"/>
      <c r="E28" s="16" t="n">
        <v>4.5</v>
      </c>
      <c r="F28" s="16" t="n">
        <v>15.81880733944954</v>
      </c>
      <c r="G28" s="12" t="n"/>
      <c r="H28" s="16" t="n">
        <v>7.450913242009133</v>
      </c>
    </row>
    <row r="29">
      <c r="A29" s="12" t="inlineStr">
        <is>
          <t>NORTH EAST ZONE RO</t>
        </is>
      </c>
      <c r="B29" s="12" t="inlineStr">
        <is>
          <t>WEST ZONE RO</t>
        </is>
      </c>
      <c r="C29" s="12" t="inlineStr">
        <is>
          <t>NORTH EAST ZONE RO → WEST ZONE RO</t>
        </is>
      </c>
      <c r="D29" s="12" t="n"/>
      <c r="E29" s="16" t="n">
        <v>32.27181818181818</v>
      </c>
      <c r="F29" s="16" t="n">
        <v>60</v>
      </c>
      <c r="G29" s="12" t="n"/>
      <c r="H29" s="16" t="n">
        <v>32.70604026845638</v>
      </c>
    </row>
    <row r="30">
      <c r="A30" s="12" t="inlineStr">
        <is>
          <t>NORTH EAST ZONE RO</t>
        </is>
      </c>
      <c r="B30" s="12" t="inlineStr">
        <is>
          <t>SOUTH ZONE RO</t>
        </is>
      </c>
      <c r="C30" s="12" t="inlineStr">
        <is>
          <t>NORTH EAST ZONE RO → SOUTH ZONE RO</t>
        </is>
      </c>
      <c r="D30" s="16" t="n">
        <v>28.50519705882353</v>
      </c>
      <c r="E30" s="12" t="n"/>
      <c r="F30" s="12" t="n"/>
      <c r="G30" s="12" t="n"/>
      <c r="H30" s="16" t="n">
        <v>28.50519705882353</v>
      </c>
    </row>
    <row r="31">
      <c r="A31" s="12" t="inlineStr">
        <is>
          <t>NORTH EAST ZONE RO</t>
        </is>
      </c>
      <c r="B31" s="12" t="inlineStr">
        <is>
          <t>NORTH EAST ZONE RO</t>
        </is>
      </c>
      <c r="C31" s="12" t="inlineStr">
        <is>
          <t>NORTH EAST ZONE RO → NORTH EAST ZONE RO</t>
        </is>
      </c>
      <c r="D31" s="16" t="n">
        <v>6.776628291797227</v>
      </c>
      <c r="E31" s="16" t="n">
        <v>6.714997278787811</v>
      </c>
      <c r="F31" s="16" t="n">
        <v>6.619952878178879</v>
      </c>
      <c r="G31" s="16" t="n">
        <v>6.437187491823356</v>
      </c>
      <c r="H31" s="16" t="n">
        <v>6.651038314914533</v>
      </c>
    </row>
    <row r="32">
      <c r="A32" s="12" t="inlineStr">
        <is>
          <t>NEPAL ZONE</t>
        </is>
      </c>
      <c r="B32" s="12" t="inlineStr">
        <is>
          <t>NORTH ZONE RO</t>
        </is>
      </c>
      <c r="C32" s="12" t="inlineStr">
        <is>
          <t>NEPAL ZONE → NORTH ZONE RO</t>
        </is>
      </c>
      <c r="D32" s="12" t="n"/>
      <c r="E32" s="16" t="n">
        <v>0.03961048841101587</v>
      </c>
      <c r="F32" s="16" t="n">
        <v>0.9791249999999999</v>
      </c>
      <c r="G32" s="16" t="n">
        <v>12.55230125523012</v>
      </c>
      <c r="H32" s="16" t="n">
        <v>0.770593461265103</v>
      </c>
    </row>
    <row r="33">
      <c r="A33" s="12" t="inlineStr">
        <is>
          <t>NEPAL ZONE</t>
        </is>
      </c>
      <c r="B33" s="12" t="inlineStr">
        <is>
          <t>EAST ZONE RO</t>
        </is>
      </c>
      <c r="C33" s="12" t="inlineStr">
        <is>
          <t>NEPAL ZONE → EAST ZONE RO</t>
        </is>
      </c>
      <c r="D33" s="12" t="n"/>
      <c r="E33" s="16" t="n">
        <v>19.16666666666667</v>
      </c>
      <c r="F33" s="16" t="n">
        <v>11.11111111111111</v>
      </c>
      <c r="G33" s="12" t="n"/>
      <c r="H33" s="16" t="n">
        <v>18.6046511627907</v>
      </c>
    </row>
    <row r="34">
      <c r="A34" s="12" t="inlineStr">
        <is>
          <t>NEPAL ZONE</t>
        </is>
      </c>
      <c r="B34" s="12" t="inlineStr">
        <is>
          <t>WEST ZONE RO</t>
        </is>
      </c>
      <c r="C34" s="12" t="inlineStr">
        <is>
          <t>NEPAL ZONE → WEST ZONE RO</t>
        </is>
      </c>
      <c r="D34" s="12" t="n"/>
      <c r="E34" s="16" t="n">
        <v>40.54054054054054</v>
      </c>
      <c r="F34" s="16" t="n">
        <v>42.64410480349345</v>
      </c>
      <c r="G34" s="16" t="n">
        <v>13.47449470644851</v>
      </c>
      <c r="H34" s="16" t="n">
        <v>18.94711612803464</v>
      </c>
    </row>
    <row r="35">
      <c r="A35" s="12" t="inlineStr">
        <is>
          <t>NEPAL ZONE</t>
        </is>
      </c>
      <c r="B35" s="12" t="inlineStr">
        <is>
          <t>SOUTH ZONE RO</t>
        </is>
      </c>
      <c r="C35" s="12" t="inlineStr">
        <is>
          <t>NEPAL ZONE → SOUTH ZONE RO</t>
        </is>
      </c>
      <c r="D35" s="16" t="n">
        <v>19.38147215225301</v>
      </c>
      <c r="E35" s="12" t="n"/>
      <c r="F35" s="16" t="n">
        <v>42.70833333333334</v>
      </c>
      <c r="G35" s="16" t="n">
        <v>40</v>
      </c>
      <c r="H35" s="16" t="n">
        <v>20.9744658676394</v>
      </c>
    </row>
    <row r="36">
      <c r="A36" s="12" t="inlineStr">
        <is>
          <t>NEPAL ZONE</t>
        </is>
      </c>
      <c r="B36" s="12" t="inlineStr">
        <is>
          <t>NEPAL ZONE</t>
        </is>
      </c>
      <c r="C36" s="12" t="inlineStr">
        <is>
          <t>NEPAL ZONE → NEPAL ZONE</t>
        </is>
      </c>
      <c r="D36" s="16" t="n">
        <v>3.305738266807917</v>
      </c>
      <c r="E36" s="16" t="n">
        <v>4.543743985399038</v>
      </c>
      <c r="F36" s="16" t="n">
        <v>4.494440125073946</v>
      </c>
      <c r="G36" s="16" t="n">
        <v>3.181289089788371</v>
      </c>
      <c r="H36" s="16" t="n">
        <v>3.778732397376972</v>
      </c>
    </row>
  </sheetData>
  <mergeCells count="2">
    <mergeCell ref="A2:H2"/>
    <mergeCell ref="A1:H1"/>
  </mergeCells>
  <conditionalFormatting sqref="D5:D36">
    <cfRule type="colorScale" priority="1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E5:E36">
    <cfRule type="colorScale" priority="2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F5:F36">
    <cfRule type="colorScale" priority="3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G5:G36">
    <cfRule type="colorScale" priority="4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H5:H36">
    <cfRule type="colorScale" priority="5">
      <colorScale>
        <cfvo type="min"/>
        <cfvo type="percentile" val="50"/>
        <cfvo type="max"/>
        <color rgb="00F4C7C3"/>
        <color rgb="00FFF2CC"/>
        <color rgb="00B7E1C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20" customWidth="1" min="4" max="4"/>
    <col width="22" customWidth="1" min="5" max="5"/>
    <col width="20" customWidth="1" min="6" max="6"/>
    <col width="20" customWidth="1" min="7" max="7"/>
    <col width="21" customWidth="1" min="8" max="8"/>
  </cols>
  <sheetData>
    <row r="1" ht="22" customHeight="1">
      <c r="A1" s="6" t="inlineStr">
        <is>
          <t>VAS yield by OD pair and month</t>
        </is>
      </c>
    </row>
    <row r="2" ht="18" customHeight="1">
      <c r="A2" s="7" t="inlineStr">
        <is>
          <t>Blank cells mean the OD pair had no shipments that month</t>
        </is>
      </c>
    </row>
    <row r="3"/>
    <row r="4" ht="32" customHeight="1">
      <c r="A4" s="11" t="inlineStr">
        <is>
          <t>Origin zone</t>
        </is>
      </c>
      <c r="B4" s="11" t="inlineStr">
        <is>
          <t>Destination zone</t>
        </is>
      </c>
      <c r="C4" s="11" t="inlineStr">
        <is>
          <t>OD pair</t>
        </is>
      </c>
      <c r="D4" s="11" t="inlineStr">
        <is>
          <t>April</t>
        </is>
      </c>
      <c r="E4" s="11" t="inlineStr">
        <is>
          <t>May</t>
        </is>
      </c>
      <c r="F4" s="11" t="inlineStr">
        <is>
          <t>June</t>
        </is>
      </c>
      <c r="G4" s="11" t="inlineStr">
        <is>
          <t>July</t>
        </is>
      </c>
      <c r="H4" s="11" t="inlineStr">
        <is>
          <t>All months</t>
        </is>
      </c>
    </row>
    <row r="5">
      <c r="A5" s="12" t="inlineStr">
        <is>
          <t>NORTH ZONE RO</t>
        </is>
      </c>
      <c r="B5" s="12" t="inlineStr">
        <is>
          <t>NORTH ZONE RO</t>
        </is>
      </c>
      <c r="C5" s="12" t="inlineStr">
        <is>
          <t>NORTH ZONE RO → NORTH ZONE RO</t>
        </is>
      </c>
      <c r="D5" s="16" t="n">
        <v>2.055302566225166</v>
      </c>
      <c r="E5" s="16" t="n">
        <v>1.453792135477785</v>
      </c>
      <c r="F5" s="16" t="n">
        <v>1.64101208935611</v>
      </c>
      <c r="G5" s="16" t="n">
        <v>0.7028860078277887</v>
      </c>
      <c r="H5" s="16" t="n">
        <v>1.307740237497829</v>
      </c>
    </row>
    <row r="6">
      <c r="A6" s="12" t="inlineStr">
        <is>
          <t>NORTH ZONE RO</t>
        </is>
      </c>
      <c r="B6" s="12" t="inlineStr">
        <is>
          <t>EAST ZONE RO</t>
        </is>
      </c>
      <c r="C6" s="12" t="inlineStr">
        <is>
          <t>NORTH ZONE RO → EAST ZONE RO</t>
        </is>
      </c>
      <c r="D6" s="16" t="n">
        <v>2.121937469063302</v>
      </c>
      <c r="E6" s="16" t="n">
        <v>2.404083947087905</v>
      </c>
      <c r="F6" s="16" t="n">
        <v>2.504820719945362</v>
      </c>
      <c r="G6" s="16" t="n">
        <v>2.091508283307935</v>
      </c>
      <c r="H6" s="16" t="n">
        <v>2.27226061840816</v>
      </c>
    </row>
    <row r="7">
      <c r="A7" s="12" t="inlineStr">
        <is>
          <t>NORTH ZONE RO</t>
        </is>
      </c>
      <c r="B7" s="12" t="inlineStr">
        <is>
          <t>WEST ZONE RO</t>
        </is>
      </c>
      <c r="C7" s="12" t="inlineStr">
        <is>
          <t>NORTH ZONE RO → WEST ZONE RO</t>
        </is>
      </c>
      <c r="D7" s="16" t="n">
        <v>0.6333333333333333</v>
      </c>
      <c r="E7" s="16" t="n">
        <v>0.641293841480254</v>
      </c>
      <c r="F7" s="16" t="n">
        <v>0.8150219298245615</v>
      </c>
      <c r="G7" s="16" t="n">
        <v>1.642600276625173</v>
      </c>
      <c r="H7" s="16" t="n">
        <v>0.8240789612583131</v>
      </c>
    </row>
    <row r="8">
      <c r="A8" s="12" t="inlineStr">
        <is>
          <t>NORTH ZONE RO</t>
        </is>
      </c>
      <c r="B8" s="12" t="inlineStr">
        <is>
          <t>SOUTH ZONE RO</t>
        </is>
      </c>
      <c r="C8" s="12" t="inlineStr">
        <is>
          <t>NORTH ZONE RO → SOUTH ZONE RO</t>
        </is>
      </c>
      <c r="D8" s="16" t="n">
        <v>0.9661345737349871</v>
      </c>
      <c r="E8" s="16" t="n">
        <v>1.641667186255153</v>
      </c>
      <c r="F8" s="16" t="n">
        <v>1.79367996263701</v>
      </c>
      <c r="G8" s="16" t="n">
        <v>1.042321960054556</v>
      </c>
      <c r="H8" s="16" t="n">
        <v>1.305662894231648</v>
      </c>
    </row>
    <row r="9">
      <c r="A9" s="12" t="inlineStr">
        <is>
          <t>NORTH ZONE RO</t>
        </is>
      </c>
      <c r="B9" s="12" t="inlineStr">
        <is>
          <t>NORTH EAST ZONE RO</t>
        </is>
      </c>
      <c r="C9" s="12" t="inlineStr">
        <is>
          <t>NORTH ZONE RO → NORTH EAST ZONE RO</t>
        </is>
      </c>
      <c r="D9" s="16" t="n">
        <v>1.799873385248444</v>
      </c>
      <c r="E9" s="16" t="n">
        <v>1.87896597161936</v>
      </c>
      <c r="F9" s="16" t="n">
        <v>2.376647608656786</v>
      </c>
      <c r="G9" s="16" t="n">
        <v>2.578700425386094</v>
      </c>
      <c r="H9" s="16" t="n">
        <v>2.161899710894669</v>
      </c>
    </row>
    <row r="10">
      <c r="A10" s="12" t="inlineStr">
        <is>
          <t>NORTH ZONE RO</t>
        </is>
      </c>
      <c r="B10" s="12" t="inlineStr">
        <is>
          <t>NEPAL ZONE</t>
        </is>
      </c>
      <c r="C10" s="12" t="inlineStr">
        <is>
          <t>NORTH ZONE RO → NEPAL ZONE</t>
        </is>
      </c>
      <c r="D10" s="16" t="n">
        <v>2.153858539620969</v>
      </c>
      <c r="E10" s="16" t="n">
        <v>2.33117892097644</v>
      </c>
      <c r="F10" s="16" t="n">
        <v>2.689456365098136</v>
      </c>
      <c r="G10" s="16" t="n">
        <v>2.450662573036114</v>
      </c>
      <c r="H10" s="16" t="n">
        <v>2.407343913067153</v>
      </c>
    </row>
    <row r="11">
      <c r="A11" s="12" t="inlineStr">
        <is>
          <t>EAST ZONE RO</t>
        </is>
      </c>
      <c r="B11" s="12" t="inlineStr">
        <is>
          <t>NORTH ZONE RO</t>
        </is>
      </c>
      <c r="C11" s="12" t="inlineStr">
        <is>
          <t>EAST ZONE RO → NORTH ZONE RO</t>
        </is>
      </c>
      <c r="D11" s="16" t="n">
        <v>0.823265539707695</v>
      </c>
      <c r="E11" s="16" t="n">
        <v>1.336431056583044</v>
      </c>
      <c r="F11" s="16" t="n">
        <v>1.056359988737153</v>
      </c>
      <c r="G11" s="16" t="n">
        <v>1.366396788275579</v>
      </c>
      <c r="H11" s="16" t="n">
        <v>1.053387892060997</v>
      </c>
    </row>
    <row r="12">
      <c r="A12" s="12" t="inlineStr">
        <is>
          <t>EAST ZONE RO</t>
        </is>
      </c>
      <c r="B12" s="12" t="inlineStr">
        <is>
          <t>EAST ZONE RO</t>
        </is>
      </c>
      <c r="C12" s="12" t="inlineStr">
        <is>
          <t>EAST ZONE RO → EAST ZONE RO</t>
        </is>
      </c>
      <c r="D12" s="16" t="n">
        <v>2.749151299234744</v>
      </c>
      <c r="E12" s="16" t="n">
        <v>5.156610705420231</v>
      </c>
      <c r="F12" s="16" t="n">
        <v>4.336037606040202</v>
      </c>
      <c r="G12" s="16" t="n">
        <v>5.590176902296298</v>
      </c>
      <c r="H12" s="16" t="n">
        <v>4.235294626283785</v>
      </c>
    </row>
    <row r="13">
      <c r="A13" s="12" t="inlineStr">
        <is>
          <t>EAST ZONE RO</t>
        </is>
      </c>
      <c r="B13" s="12" t="inlineStr">
        <is>
          <t>NORTH EAST ZONE RO</t>
        </is>
      </c>
      <c r="C13" s="12" t="inlineStr">
        <is>
          <t>EAST ZONE RO → NORTH EAST ZONE RO</t>
        </is>
      </c>
      <c r="D13" s="16" t="n">
        <v>1.532038478949919</v>
      </c>
      <c r="E13" s="16" t="n">
        <v>1.977507684118853</v>
      </c>
      <c r="F13" s="16" t="n">
        <v>2.033622507597599</v>
      </c>
      <c r="G13" s="16" t="n">
        <v>2.371922859238058</v>
      </c>
      <c r="H13" s="16" t="n">
        <v>2.010580918215195</v>
      </c>
    </row>
    <row r="14">
      <c r="A14" s="12" t="inlineStr">
        <is>
          <t>EAST ZONE RO</t>
        </is>
      </c>
      <c r="B14" s="12" t="inlineStr">
        <is>
          <t>NEPAL ZONE</t>
        </is>
      </c>
      <c r="C14" s="12" t="inlineStr">
        <is>
          <t>EAST ZONE RO → NEPAL ZONE</t>
        </is>
      </c>
      <c r="D14" s="16" t="n">
        <v>3.281876882853584</v>
      </c>
      <c r="E14" s="16" t="n">
        <v>3.401073514328917</v>
      </c>
      <c r="F14" s="16" t="n">
        <v>4.026811674474965</v>
      </c>
      <c r="G14" s="16" t="n">
        <v>2.694720239571234</v>
      </c>
      <c r="H14" s="16" t="n">
        <v>3.278176743493443</v>
      </c>
    </row>
    <row r="15">
      <c r="A15" s="12" t="inlineStr">
        <is>
          <t>WEST ZONE RO</t>
        </is>
      </c>
      <c r="B15" s="12" t="inlineStr">
        <is>
          <t>NORTH ZONE RO</t>
        </is>
      </c>
      <c r="C15" s="12" t="inlineStr">
        <is>
          <t>WEST ZONE RO → NORTH ZONE RO</t>
        </is>
      </c>
      <c r="D15" s="16" t="n">
        <v>1.155876437472935</v>
      </c>
      <c r="E15" s="16" t="n">
        <v>1.042457109673137</v>
      </c>
      <c r="F15" s="16" t="n">
        <v>1.503133688864579</v>
      </c>
      <c r="G15" s="16" t="n">
        <v>2.39584623689519</v>
      </c>
      <c r="H15" s="16" t="n">
        <v>1.44355594739955</v>
      </c>
    </row>
    <row r="16">
      <c r="A16" s="12" t="inlineStr">
        <is>
          <t>WEST ZONE RO</t>
        </is>
      </c>
      <c r="B16" s="12" t="inlineStr">
        <is>
          <t>EAST ZONE RO</t>
        </is>
      </c>
      <c r="C16" s="12" t="inlineStr">
        <is>
          <t>WEST ZONE RO → EAST ZONE RO</t>
        </is>
      </c>
      <c r="D16" s="16" t="n">
        <v>2.987943460817091</v>
      </c>
      <c r="E16" s="16" t="n">
        <v>3.393993558912578</v>
      </c>
      <c r="F16" s="16" t="n">
        <v>5.119208406361049</v>
      </c>
      <c r="G16" s="16" t="n">
        <v>3.779288975917689</v>
      </c>
      <c r="H16" s="16" t="n">
        <v>3.747504371596683</v>
      </c>
    </row>
    <row r="17">
      <c r="A17" s="12" t="inlineStr">
        <is>
          <t>WEST ZONE RO</t>
        </is>
      </c>
      <c r="B17" s="12" t="inlineStr">
        <is>
          <t>WEST ZONE RO</t>
        </is>
      </c>
      <c r="C17" s="12" t="inlineStr">
        <is>
          <t>WEST ZONE RO → WEST ZONE RO</t>
        </is>
      </c>
      <c r="D17" s="16" t="n">
        <v>1.413359920239282</v>
      </c>
      <c r="E17" s="16" t="n">
        <v>1.954656044678055</v>
      </c>
      <c r="F17" s="16" t="n">
        <v>1.704835993034343</v>
      </c>
      <c r="G17" s="16" t="n">
        <v>1.494953549649928</v>
      </c>
      <c r="H17" s="16" t="n">
        <v>1.639597009456431</v>
      </c>
    </row>
    <row r="18">
      <c r="A18" s="12" t="inlineStr">
        <is>
          <t>WEST ZONE RO</t>
        </is>
      </c>
      <c r="B18" s="12" t="inlineStr">
        <is>
          <t>SOUTH ZONE RO</t>
        </is>
      </c>
      <c r="C18" s="12" t="inlineStr">
        <is>
          <t>WEST ZONE RO → SOUTH ZONE RO</t>
        </is>
      </c>
      <c r="D18" s="16" t="n">
        <v>1.31869918699187</v>
      </c>
      <c r="E18" s="16" t="n">
        <v>2.221794871794872</v>
      </c>
      <c r="F18" s="16" t="n">
        <v>1.34685284742376</v>
      </c>
      <c r="G18" s="16" t="n">
        <v>2.085446685878963</v>
      </c>
      <c r="H18" s="16" t="n">
        <v>1.677954425487372</v>
      </c>
    </row>
    <row r="19">
      <c r="A19" s="12" t="inlineStr">
        <is>
          <t>WEST ZONE RO</t>
        </is>
      </c>
      <c r="B19" s="12" t="inlineStr">
        <is>
          <t>NORTH EAST ZONE RO</t>
        </is>
      </c>
      <c r="C19" s="12" t="inlineStr">
        <is>
          <t>WEST ZONE RO → NORTH EAST ZONE RO</t>
        </is>
      </c>
      <c r="D19" s="16" t="n">
        <v>2.185270085288315</v>
      </c>
      <c r="E19" s="16" t="n">
        <v>2.310431549203308</v>
      </c>
      <c r="F19" s="16" t="n">
        <v>2.977259857329869</v>
      </c>
      <c r="G19" s="16" t="n">
        <v>3.161665361135313</v>
      </c>
      <c r="H19" s="16" t="n">
        <v>2.684079746851696</v>
      </c>
    </row>
    <row r="20">
      <c r="A20" s="12" t="inlineStr">
        <is>
          <t>WEST ZONE RO</t>
        </is>
      </c>
      <c r="B20" s="12" t="inlineStr">
        <is>
          <t>NEPAL ZONE</t>
        </is>
      </c>
      <c r="C20" s="12" t="inlineStr">
        <is>
          <t>WEST ZONE RO → NEPAL ZONE</t>
        </is>
      </c>
      <c r="D20" s="16" t="n">
        <v>3.662050006132897</v>
      </c>
      <c r="E20" s="16" t="n">
        <v>3.513869891688357</v>
      </c>
      <c r="F20" s="16" t="n">
        <v>4.257153654208523</v>
      </c>
      <c r="G20" s="16" t="n">
        <v>3.976836507967994</v>
      </c>
      <c r="H20" s="16" t="n">
        <v>3.871256285545616</v>
      </c>
    </row>
    <row r="21">
      <c r="A21" s="12" t="inlineStr">
        <is>
          <t>SOUTH ZONE RO</t>
        </is>
      </c>
      <c r="B21" s="12" t="inlineStr">
        <is>
          <t>NORTH ZONE RO</t>
        </is>
      </c>
      <c r="C21" s="12" t="inlineStr">
        <is>
          <t>SOUTH ZONE RO → NORTH ZONE RO</t>
        </is>
      </c>
      <c r="D21" s="16" t="n">
        <v>1.685341617094605</v>
      </c>
      <c r="E21" s="16" t="n">
        <v>1.985439533538078</v>
      </c>
      <c r="F21" s="16" t="n">
        <v>3.037445983718605</v>
      </c>
      <c r="G21" s="16" t="n">
        <v>1.468779009643828</v>
      </c>
      <c r="H21" s="16" t="n">
        <v>2.112151781156783</v>
      </c>
    </row>
    <row r="22">
      <c r="A22" s="12" t="inlineStr">
        <is>
          <t>SOUTH ZONE RO</t>
        </is>
      </c>
      <c r="B22" s="12" t="inlineStr">
        <is>
          <t>EAST ZONE RO</t>
        </is>
      </c>
      <c r="C22" s="12" t="inlineStr">
        <is>
          <t>SOUTH ZONE RO → EAST ZONE RO</t>
        </is>
      </c>
      <c r="D22" s="16" t="n">
        <v>2.992289630830005</v>
      </c>
      <c r="E22" s="16" t="n">
        <v>3.98984668321833</v>
      </c>
      <c r="F22" s="16" t="n">
        <v>5.023232348450839</v>
      </c>
      <c r="G22" s="16" t="n">
        <v>3.321888525874425</v>
      </c>
      <c r="H22" s="16" t="n">
        <v>3.741986935572314</v>
      </c>
    </row>
    <row r="23">
      <c r="A23" s="12" t="inlineStr">
        <is>
          <t>SOUTH ZONE RO</t>
        </is>
      </c>
      <c r="B23" s="12" t="inlineStr">
        <is>
          <t>WEST ZONE RO</t>
        </is>
      </c>
      <c r="C23" s="12" t="inlineStr">
        <is>
          <t>SOUTH ZONE RO → WEST ZONE RO</t>
        </is>
      </c>
      <c r="D23" s="16" t="n">
        <v>0.8000444444444444</v>
      </c>
      <c r="E23" s="16" t="n">
        <v>3.128666666666667</v>
      </c>
      <c r="F23" s="16" t="n">
        <v>0.695</v>
      </c>
      <c r="G23" s="16" t="n">
        <v>2.466019595275158</v>
      </c>
      <c r="H23" s="16" t="n">
        <v>2.000666142734179</v>
      </c>
    </row>
    <row r="24">
      <c r="A24" s="12" t="inlineStr">
        <is>
          <t>SOUTH ZONE RO</t>
        </is>
      </c>
      <c r="B24" s="12" t="inlineStr">
        <is>
          <t>SOUTH ZONE RO</t>
        </is>
      </c>
      <c r="C24" s="12" t="inlineStr">
        <is>
          <t>SOUTH ZONE RO → SOUTH ZONE RO</t>
        </is>
      </c>
      <c r="D24" s="16" t="n">
        <v>2.979333333333334</v>
      </c>
      <c r="E24" s="16" t="n">
        <v>2.289231625835189</v>
      </c>
      <c r="F24" s="16" t="n">
        <v>0.9981696428571428</v>
      </c>
      <c r="G24" s="16" t="n">
        <v>2.30752681643392</v>
      </c>
      <c r="H24" s="16" t="n">
        <v>1.896291243292613</v>
      </c>
    </row>
    <row r="25">
      <c r="A25" s="12" t="inlineStr">
        <is>
          <t>SOUTH ZONE RO</t>
        </is>
      </c>
      <c r="B25" s="12" t="inlineStr">
        <is>
          <t>NORTH EAST ZONE RO</t>
        </is>
      </c>
      <c r="C25" s="12" t="inlineStr">
        <is>
          <t>SOUTH ZONE RO → NORTH EAST ZONE RO</t>
        </is>
      </c>
      <c r="D25" s="16" t="n">
        <v>2.304440689174272</v>
      </c>
      <c r="E25" s="16" t="n">
        <v>2.764832339456414</v>
      </c>
      <c r="F25" s="16" t="n">
        <v>2.900689696291472</v>
      </c>
      <c r="G25" s="16" t="n">
        <v>3.180207097008599</v>
      </c>
      <c r="H25" s="16" t="n">
        <v>2.753954528126744</v>
      </c>
    </row>
    <row r="26">
      <c r="A26" s="12" t="inlineStr">
        <is>
          <t>SOUTH ZONE RO</t>
        </is>
      </c>
      <c r="B26" s="12" t="inlineStr">
        <is>
          <t>NEPAL ZONE</t>
        </is>
      </c>
      <c r="C26" s="12" t="inlineStr">
        <is>
          <t>SOUTH ZONE RO → NEPAL ZONE</t>
        </is>
      </c>
      <c r="D26" s="16" t="n">
        <v>4.608030785519825</v>
      </c>
      <c r="E26" s="16" t="n">
        <v>5.121610196892865</v>
      </c>
      <c r="F26" s="16" t="n">
        <v>6.119969061297016</v>
      </c>
      <c r="G26" s="16" t="n">
        <v>5.239730089851895</v>
      </c>
      <c r="H26" s="16" t="n">
        <v>5.292944569728087</v>
      </c>
    </row>
    <row r="27">
      <c r="A27" s="12" t="inlineStr">
        <is>
          <t>NORTH EAST ZONE RO</t>
        </is>
      </c>
      <c r="B27" s="12" t="inlineStr">
        <is>
          <t>NORTH ZONE RO</t>
        </is>
      </c>
      <c r="C27" s="12" t="inlineStr">
        <is>
          <t>NORTH EAST ZONE RO → NORTH ZONE RO</t>
        </is>
      </c>
      <c r="D27" s="16" t="n">
        <v>10</v>
      </c>
      <c r="E27" s="16" t="n">
        <v>5.868421052631579</v>
      </c>
      <c r="F27" s="16" t="n">
        <v>1.120987654320988</v>
      </c>
      <c r="G27" s="16" t="n">
        <v>0.7332904884318766</v>
      </c>
      <c r="H27" s="16" t="n">
        <v>0.7783586626139818</v>
      </c>
    </row>
    <row r="28">
      <c r="A28" s="12" t="inlineStr">
        <is>
          <t>NORTH EAST ZONE RO</t>
        </is>
      </c>
      <c r="B28" s="12" t="inlineStr">
        <is>
          <t>EAST ZONE RO</t>
        </is>
      </c>
      <c r="C28" s="12" t="inlineStr">
        <is>
          <t>NORTH EAST ZONE RO → EAST ZONE RO</t>
        </is>
      </c>
      <c r="D28" s="12" t="n"/>
      <c r="E28" s="16" t="n">
        <v>0.5529411764705883</v>
      </c>
      <c r="F28" s="16" t="n">
        <v>2.447873227689741</v>
      </c>
      <c r="G28" s="12" t="n"/>
      <c r="H28" s="16" t="n">
        <v>1.046966731898239</v>
      </c>
    </row>
    <row r="29">
      <c r="A29" s="12" t="inlineStr">
        <is>
          <t>NORTH EAST ZONE RO</t>
        </is>
      </c>
      <c r="B29" s="12" t="inlineStr">
        <is>
          <t>WEST ZONE RO</t>
        </is>
      </c>
      <c r="C29" s="12" t="inlineStr">
        <is>
          <t>NORTH EAST ZONE RO → WEST ZONE RO</t>
        </is>
      </c>
      <c r="D29" s="12" t="n"/>
      <c r="E29" s="16" t="n">
        <v>7.271818181818182</v>
      </c>
      <c r="F29" s="16" t="n">
        <v>30</v>
      </c>
      <c r="G29" s="12" t="n"/>
      <c r="H29" s="16" t="n">
        <v>7.627740492170022</v>
      </c>
    </row>
    <row r="30">
      <c r="A30" s="12" t="inlineStr">
        <is>
          <t>NORTH EAST ZONE RO</t>
        </is>
      </c>
      <c r="B30" s="12" t="inlineStr">
        <is>
          <t>SOUTH ZONE RO</t>
        </is>
      </c>
      <c r="C30" s="12" t="inlineStr">
        <is>
          <t>NORTH EAST ZONE RO → SOUTH ZONE RO</t>
        </is>
      </c>
      <c r="D30" s="16" t="n">
        <v>2.034608823529411</v>
      </c>
      <c r="E30" s="12" t="n"/>
      <c r="F30" s="12" t="n"/>
      <c r="G30" s="12" t="n"/>
      <c r="H30" s="16" t="n">
        <v>2.034608823529411</v>
      </c>
    </row>
    <row r="31">
      <c r="A31" s="12" t="inlineStr">
        <is>
          <t>NORTH EAST ZONE RO</t>
        </is>
      </c>
      <c r="B31" s="12" t="inlineStr">
        <is>
          <t>NORTH EAST ZONE RO</t>
        </is>
      </c>
      <c r="C31" s="12" t="inlineStr">
        <is>
          <t>NORTH EAST ZONE RO → NORTH EAST ZONE RO</t>
        </is>
      </c>
      <c r="D31" s="16" t="n">
        <v>0.6201819853494615</v>
      </c>
      <c r="E31" s="16" t="n">
        <v>0.8284289766640568</v>
      </c>
      <c r="F31" s="16" t="n">
        <v>0.8616938980256843</v>
      </c>
      <c r="G31" s="16" t="n">
        <v>0.8071106524712581</v>
      </c>
      <c r="H31" s="16" t="n">
        <v>0.7678917725409798</v>
      </c>
    </row>
    <row r="32">
      <c r="A32" s="12" t="inlineStr">
        <is>
          <t>NEPAL ZONE</t>
        </is>
      </c>
      <c r="B32" s="12" t="inlineStr">
        <is>
          <t>NORTH ZONE RO</t>
        </is>
      </c>
      <c r="C32" s="12" t="inlineStr">
        <is>
          <t>NEPAL ZONE → NORTH ZONE RO</t>
        </is>
      </c>
      <c r="D32" s="12" t="n"/>
      <c r="E32" s="16" t="n">
        <v>0.03930618248212202</v>
      </c>
      <c r="F32" s="16" t="n">
        <v>0.9791249999999999</v>
      </c>
      <c r="G32" s="16" t="n">
        <v>2.01255230125523</v>
      </c>
      <c r="H32" s="16" t="n">
        <v>0.2108475479744137</v>
      </c>
    </row>
    <row r="33">
      <c r="A33" s="12" t="inlineStr">
        <is>
          <t>NEPAL ZONE</t>
        </is>
      </c>
      <c r="B33" s="12" t="inlineStr">
        <is>
          <t>EAST ZONE RO</t>
        </is>
      </c>
      <c r="C33" s="12" t="inlineStr">
        <is>
          <t>NEPAL ZONE → EAST ZONE RO</t>
        </is>
      </c>
      <c r="D33" s="12" t="n"/>
      <c r="E33" s="16" t="n">
        <v>2.166666666666667</v>
      </c>
      <c r="F33" s="16" t="n">
        <v>6.111111111111111</v>
      </c>
      <c r="G33" s="12" t="n"/>
      <c r="H33" s="16" t="n">
        <v>2.441860465116279</v>
      </c>
    </row>
    <row r="34">
      <c r="A34" s="12" t="inlineStr">
        <is>
          <t>NEPAL ZONE</t>
        </is>
      </c>
      <c r="B34" s="12" t="inlineStr">
        <is>
          <t>WEST ZONE RO</t>
        </is>
      </c>
      <c r="C34" s="12" t="inlineStr">
        <is>
          <t>NEPAL ZONE → WEST ZONE RO</t>
        </is>
      </c>
      <c r="D34" s="12" t="n"/>
      <c r="E34" s="16" t="n">
        <v>10.54054054054054</v>
      </c>
      <c r="F34" s="16" t="n">
        <v>8.216157205240174</v>
      </c>
      <c r="G34" s="16" t="n">
        <v>2.039942252165544</v>
      </c>
      <c r="H34" s="16" t="n">
        <v>3.547317148600587</v>
      </c>
    </row>
    <row r="35">
      <c r="A35" s="12" t="inlineStr">
        <is>
          <t>NEPAL ZONE</t>
        </is>
      </c>
      <c r="B35" s="12" t="inlineStr">
        <is>
          <t>SOUTH ZONE RO</t>
        </is>
      </c>
      <c r="C35" s="12" t="inlineStr">
        <is>
          <t>NEPAL ZONE → SOUTH ZONE RO</t>
        </is>
      </c>
      <c r="D35" s="16" t="n">
        <v>7.681472152253009</v>
      </c>
      <c r="E35" s="12" t="n"/>
      <c r="F35" s="16" t="n">
        <v>19.70833333333333</v>
      </c>
      <c r="G35" s="16" t="n">
        <v>15</v>
      </c>
      <c r="H35" s="16" t="n">
        <v>8.481214174048985</v>
      </c>
    </row>
    <row r="36">
      <c r="A36" s="12" t="inlineStr">
        <is>
          <t>NEPAL ZONE</t>
        </is>
      </c>
      <c r="B36" s="12" t="inlineStr">
        <is>
          <t>NEPAL ZONE</t>
        </is>
      </c>
      <c r="C36" s="12" t="inlineStr">
        <is>
          <t>NEPAL ZONE → NEPAL ZONE</t>
        </is>
      </c>
      <c r="D36" s="16" t="n">
        <v>1.55028317987698</v>
      </c>
      <c r="E36" s="16" t="n">
        <v>2.570082960013274</v>
      </c>
      <c r="F36" s="16" t="n">
        <v>2.279188709541114</v>
      </c>
      <c r="G36" s="16" t="n">
        <v>1.833230737620711</v>
      </c>
      <c r="H36" s="16" t="n">
        <v>1.986327571357638</v>
      </c>
    </row>
  </sheetData>
  <mergeCells count="2">
    <mergeCell ref="A2:H2"/>
    <mergeCell ref="A1:H1"/>
  </mergeCells>
  <conditionalFormatting sqref="D5:D36">
    <cfRule type="colorScale" priority="1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E5:E36">
    <cfRule type="colorScale" priority="2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F5:F36">
    <cfRule type="colorScale" priority="3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G5:G36">
    <cfRule type="colorScale" priority="4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H5:H36">
    <cfRule type="colorScale" priority="5">
      <colorScale>
        <cfvo type="min"/>
        <cfvo type="percentile" val="50"/>
        <cfvo type="max"/>
        <color rgb="00F4C7C3"/>
        <color rgb="00FFF2CC"/>
        <color rgb="00B7E1C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9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 ht="22" customHeight="1">
      <c r="A1" s="6" t="inlineStr">
        <is>
          <t>Charged weight by OD pair and month</t>
        </is>
      </c>
    </row>
    <row r="2" ht="18" customHeight="1">
      <c r="A2" s="7" t="inlineStr">
        <is>
          <t>Blank cells mean the OD pair had no shipments that month</t>
        </is>
      </c>
    </row>
    <row r="3"/>
    <row r="4" ht="32" customHeight="1">
      <c r="A4" s="11" t="inlineStr">
        <is>
          <t>Origin zone</t>
        </is>
      </c>
      <c r="B4" s="11" t="inlineStr">
        <is>
          <t>Destination zone</t>
        </is>
      </c>
      <c r="C4" s="11" t="inlineStr">
        <is>
          <t>OD pair</t>
        </is>
      </c>
      <c r="D4" s="11" t="inlineStr">
        <is>
          <t>April</t>
        </is>
      </c>
      <c r="E4" s="11" t="inlineStr">
        <is>
          <t>May</t>
        </is>
      </c>
      <c r="F4" s="11" t="inlineStr">
        <is>
          <t>June</t>
        </is>
      </c>
      <c r="G4" s="11" t="inlineStr">
        <is>
          <t>July</t>
        </is>
      </c>
      <c r="H4" s="11" t="inlineStr">
        <is>
          <t>All months</t>
        </is>
      </c>
    </row>
    <row r="5">
      <c r="A5" s="12" t="inlineStr">
        <is>
          <t>NORTH ZONE RO</t>
        </is>
      </c>
      <c r="B5" s="12" t="inlineStr">
        <is>
          <t>NORTH ZONE RO</t>
        </is>
      </c>
      <c r="C5" s="12" t="inlineStr">
        <is>
          <t>NORTH ZONE RO → NORTH ZONE RO</t>
        </is>
      </c>
      <c r="D5" s="14" t="n">
        <v>24160</v>
      </c>
      <c r="E5" s="14" t="n">
        <v>43461</v>
      </c>
      <c r="F5" s="14" t="n">
        <v>38050</v>
      </c>
      <c r="G5" s="14" t="n">
        <v>61320</v>
      </c>
      <c r="H5" s="14" t="n">
        <v>166991</v>
      </c>
    </row>
    <row r="6">
      <c r="A6" s="12" t="inlineStr">
        <is>
          <t>NORTH ZONE RO</t>
        </is>
      </c>
      <c r="B6" s="12" t="inlineStr">
        <is>
          <t>EAST ZONE RO</t>
        </is>
      </c>
      <c r="C6" s="12" t="inlineStr">
        <is>
          <t>NORTH ZONE RO → EAST ZONE RO</t>
        </is>
      </c>
      <c r="D6" s="14" t="n">
        <v>723453.1</v>
      </c>
      <c r="E6" s="14" t="n">
        <v>677557.75</v>
      </c>
      <c r="F6" s="14" t="n">
        <v>637447.318</v>
      </c>
      <c r="G6" s="14" t="n">
        <v>712638</v>
      </c>
      <c r="H6" s="14" t="n">
        <v>2751096.168</v>
      </c>
    </row>
    <row r="7">
      <c r="A7" s="12" t="inlineStr">
        <is>
          <t>NORTH ZONE RO</t>
        </is>
      </c>
      <c r="B7" s="12" t="inlineStr">
        <is>
          <t>WEST ZONE RO</t>
        </is>
      </c>
      <c r="C7" s="12" t="inlineStr">
        <is>
          <t>NORTH ZONE RO → WEST ZONE RO</t>
        </is>
      </c>
      <c r="D7" s="14" t="n">
        <v>2400</v>
      </c>
      <c r="E7" s="14" t="n">
        <v>28968</v>
      </c>
      <c r="F7" s="14" t="n">
        <v>18240</v>
      </c>
      <c r="G7" s="14" t="n">
        <v>7230</v>
      </c>
      <c r="H7" s="14" t="n">
        <v>56838</v>
      </c>
    </row>
    <row r="8">
      <c r="A8" s="12" t="inlineStr">
        <is>
          <t>NORTH ZONE RO</t>
        </is>
      </c>
      <c r="B8" s="12" t="inlineStr">
        <is>
          <t>SOUTH ZONE RO</t>
        </is>
      </c>
      <c r="C8" s="12" t="inlineStr">
        <is>
          <t>NORTH ZONE RO → SOUTH ZONE RO</t>
        </is>
      </c>
      <c r="D8" s="14" t="n">
        <v>142212</v>
      </c>
      <c r="E8" s="14" t="n">
        <v>86607</v>
      </c>
      <c r="F8" s="14" t="n">
        <v>137034</v>
      </c>
      <c r="G8" s="14" t="n">
        <v>181097</v>
      </c>
      <c r="H8" s="14" t="n">
        <v>546950</v>
      </c>
    </row>
    <row r="9">
      <c r="A9" s="12" t="inlineStr">
        <is>
          <t>NORTH ZONE RO</t>
        </is>
      </c>
      <c r="B9" s="12" t="inlineStr">
        <is>
          <t>NORTH EAST ZONE RO</t>
        </is>
      </c>
      <c r="C9" s="12" t="inlineStr">
        <is>
          <t>NORTH ZONE RO → NORTH EAST ZONE RO</t>
        </is>
      </c>
      <c r="D9" s="14" t="n">
        <v>1360426</v>
      </c>
      <c r="E9" s="14" t="n">
        <v>1514765</v>
      </c>
      <c r="F9" s="14" t="n">
        <v>1536519.3</v>
      </c>
      <c r="G9" s="14" t="n">
        <v>1418241</v>
      </c>
      <c r="H9" s="14" t="n">
        <v>5829951.3</v>
      </c>
    </row>
    <row r="10">
      <c r="A10" s="12" t="inlineStr">
        <is>
          <t>NORTH ZONE RO</t>
        </is>
      </c>
      <c r="B10" s="12" t="inlineStr">
        <is>
          <t>NEPAL ZONE</t>
        </is>
      </c>
      <c r="C10" s="12" t="inlineStr">
        <is>
          <t>NORTH ZONE RO → NEPAL ZONE</t>
        </is>
      </c>
      <c r="D10" s="14" t="n">
        <v>2001675.96</v>
      </c>
      <c r="E10" s="14" t="n">
        <v>1860956.03</v>
      </c>
      <c r="F10" s="14" t="n">
        <v>1993085.61</v>
      </c>
      <c r="G10" s="14" t="n">
        <v>2005163.85</v>
      </c>
      <c r="H10" s="14" t="n">
        <v>7860881.45</v>
      </c>
    </row>
    <row r="11">
      <c r="A11" s="12" t="inlineStr">
        <is>
          <t>EAST ZONE RO</t>
        </is>
      </c>
      <c r="B11" s="12" t="inlineStr">
        <is>
          <t>NORTH ZONE RO</t>
        </is>
      </c>
      <c r="C11" s="12" t="inlineStr">
        <is>
          <t>EAST ZONE RO → NORTH ZONE RO</t>
        </is>
      </c>
      <c r="D11" s="14" t="n">
        <v>45432</v>
      </c>
      <c r="E11" s="14" t="n">
        <v>10922</v>
      </c>
      <c r="F11" s="14" t="n">
        <v>42618</v>
      </c>
      <c r="G11" s="14" t="n">
        <v>23120.29</v>
      </c>
      <c r="H11" s="14" t="n">
        <v>122092.29</v>
      </c>
    </row>
    <row r="12">
      <c r="A12" s="12" t="inlineStr">
        <is>
          <t>EAST ZONE RO</t>
        </is>
      </c>
      <c r="B12" s="12" t="inlineStr">
        <is>
          <t>EAST ZONE RO</t>
        </is>
      </c>
      <c r="C12" s="12" t="inlineStr">
        <is>
          <t>EAST ZONE RO → EAST ZONE RO</t>
        </is>
      </c>
      <c r="D12" s="14" t="n">
        <v>67570.93000000001</v>
      </c>
      <c r="E12" s="14" t="n">
        <v>47451.29</v>
      </c>
      <c r="F12" s="14" t="n">
        <v>38175.144</v>
      </c>
      <c r="G12" s="14" t="n">
        <v>39011.93</v>
      </c>
      <c r="H12" s="14" t="n">
        <v>192209.294</v>
      </c>
    </row>
    <row r="13">
      <c r="A13" s="12" t="inlineStr">
        <is>
          <t>EAST ZONE RO</t>
        </is>
      </c>
      <c r="B13" s="12" t="inlineStr">
        <is>
          <t>NORTH EAST ZONE RO</t>
        </is>
      </c>
      <c r="C13" s="12" t="inlineStr">
        <is>
          <t>EAST ZONE RO → NORTH EAST ZONE RO</t>
        </is>
      </c>
      <c r="D13" s="14" t="n">
        <v>215773.04</v>
      </c>
      <c r="E13" s="14" t="n">
        <v>239500.46</v>
      </c>
      <c r="F13" s="14" t="n">
        <v>261172.965</v>
      </c>
      <c r="G13" s="14" t="n">
        <v>291025.645</v>
      </c>
      <c r="H13" s="14" t="n">
        <v>1007472.11</v>
      </c>
    </row>
    <row r="14">
      <c r="A14" s="12" t="inlineStr">
        <is>
          <t>EAST ZONE RO</t>
        </is>
      </c>
      <c r="B14" s="12" t="inlineStr">
        <is>
          <t>NEPAL ZONE</t>
        </is>
      </c>
      <c r="C14" s="12" t="inlineStr">
        <is>
          <t>EAST ZONE RO → NEPAL ZONE</t>
        </is>
      </c>
      <c r="D14" s="14" t="n">
        <v>148524.56</v>
      </c>
      <c r="E14" s="14" t="n">
        <v>155336.166</v>
      </c>
      <c r="F14" s="14" t="n">
        <v>131996.754</v>
      </c>
      <c r="G14" s="14" t="n">
        <v>203026.712</v>
      </c>
      <c r="H14" s="14" t="n">
        <v>638884.192</v>
      </c>
    </row>
    <row r="15">
      <c r="A15" s="12" t="inlineStr">
        <is>
          <t>WEST ZONE RO</t>
        </is>
      </c>
      <c r="B15" s="12" t="inlineStr">
        <is>
          <t>NORTH ZONE RO</t>
        </is>
      </c>
      <c r="C15" s="12" t="inlineStr">
        <is>
          <t>WEST ZONE RO → NORTH ZONE RO</t>
        </is>
      </c>
      <c r="D15" s="14" t="n">
        <v>41566</v>
      </c>
      <c r="E15" s="14" t="n">
        <v>60270</v>
      </c>
      <c r="F15" s="14" t="n">
        <v>43878</v>
      </c>
      <c r="G15" s="14" t="n">
        <v>35197</v>
      </c>
      <c r="H15" s="14" t="n">
        <v>180911</v>
      </c>
    </row>
    <row r="16">
      <c r="A16" s="12" t="inlineStr">
        <is>
          <t>WEST ZONE RO</t>
        </is>
      </c>
      <c r="B16" s="12" t="inlineStr">
        <is>
          <t>EAST ZONE RO</t>
        </is>
      </c>
      <c r="C16" s="12" t="inlineStr">
        <is>
          <t>WEST ZONE RO → EAST ZONE RO</t>
        </is>
      </c>
      <c r="D16" s="14" t="n">
        <v>334939.4</v>
      </c>
      <c r="E16" s="14" t="n">
        <v>270330.13</v>
      </c>
      <c r="F16" s="14" t="n">
        <v>248764</v>
      </c>
      <c r="G16" s="14" t="n">
        <v>275004.75</v>
      </c>
      <c r="H16" s="14" t="n">
        <v>1129038.28</v>
      </c>
    </row>
    <row r="17">
      <c r="A17" s="12" t="inlineStr">
        <is>
          <t>WEST ZONE RO</t>
        </is>
      </c>
      <c r="B17" s="12" t="inlineStr">
        <is>
          <t>WEST ZONE RO</t>
        </is>
      </c>
      <c r="C17" s="12" t="inlineStr">
        <is>
          <t>WEST ZONE RO → WEST ZONE RO</t>
        </is>
      </c>
      <c r="D17" s="14" t="n">
        <v>10030</v>
      </c>
      <c r="E17" s="14" t="n">
        <v>30440</v>
      </c>
      <c r="F17" s="14" t="n">
        <v>35029</v>
      </c>
      <c r="G17" s="14" t="n">
        <v>66415</v>
      </c>
      <c r="H17" s="14" t="n">
        <v>141914</v>
      </c>
    </row>
    <row r="18">
      <c r="A18" s="12" t="inlineStr">
        <is>
          <t>WEST ZONE RO</t>
        </is>
      </c>
      <c r="B18" s="12" t="inlineStr">
        <is>
          <t>SOUTH ZONE RO</t>
        </is>
      </c>
      <c r="C18" s="12" t="inlineStr">
        <is>
          <t>WEST ZONE RO → SOUTH ZONE RO</t>
        </is>
      </c>
      <c r="D18" s="14" t="n">
        <v>20295</v>
      </c>
      <c r="E18" s="14" t="n">
        <v>7800</v>
      </c>
      <c r="F18" s="14" t="n">
        <v>42038</v>
      </c>
      <c r="G18" s="14" t="n">
        <v>41640</v>
      </c>
      <c r="H18" s="14" t="n">
        <v>111773</v>
      </c>
    </row>
    <row r="19">
      <c r="A19" s="12" t="inlineStr">
        <is>
          <t>WEST ZONE RO</t>
        </is>
      </c>
      <c r="B19" s="12" t="inlineStr">
        <is>
          <t>NORTH EAST ZONE RO</t>
        </is>
      </c>
      <c r="C19" s="12" t="inlineStr">
        <is>
          <t>WEST ZONE RO → NORTH EAST ZONE RO</t>
        </is>
      </c>
      <c r="D19" s="14" t="n">
        <v>355476.6</v>
      </c>
      <c r="E19" s="14" t="n">
        <v>450864</v>
      </c>
      <c r="F19" s="14" t="n">
        <v>447872.3</v>
      </c>
      <c r="G19" s="14" t="n">
        <v>449076.41</v>
      </c>
      <c r="H19" s="14" t="n">
        <v>1703289.31</v>
      </c>
    </row>
    <row r="20">
      <c r="A20" s="12" t="inlineStr">
        <is>
          <t>WEST ZONE RO</t>
        </is>
      </c>
      <c r="B20" s="12" t="inlineStr">
        <is>
          <t>NEPAL ZONE</t>
        </is>
      </c>
      <c r="C20" s="12" t="inlineStr">
        <is>
          <t>WEST ZONE RO → NEPAL ZONE</t>
        </is>
      </c>
      <c r="D20" s="14" t="n">
        <v>1191443.46</v>
      </c>
      <c r="E20" s="14" t="n">
        <v>1119550.92</v>
      </c>
      <c r="F20" s="14" t="n">
        <v>1376141.09</v>
      </c>
      <c r="G20" s="14" t="n">
        <v>1120669.11</v>
      </c>
      <c r="H20" s="14" t="n">
        <v>4807804.58</v>
      </c>
    </row>
    <row r="21">
      <c r="A21" s="12" t="inlineStr">
        <is>
          <t>SOUTH ZONE RO</t>
        </is>
      </c>
      <c r="B21" s="12" t="inlineStr">
        <is>
          <t>NORTH ZONE RO</t>
        </is>
      </c>
      <c r="C21" s="12" t="inlineStr">
        <is>
          <t>SOUTH ZONE RO → NORTH ZONE RO</t>
        </is>
      </c>
      <c r="D21" s="14" t="n">
        <v>36907.55</v>
      </c>
      <c r="E21" s="14" t="n">
        <v>22467</v>
      </c>
      <c r="F21" s="14" t="n">
        <v>49013</v>
      </c>
      <c r="G21" s="14" t="n">
        <v>41581</v>
      </c>
      <c r="H21" s="14" t="n">
        <v>149968.55</v>
      </c>
    </row>
    <row r="22">
      <c r="A22" s="12" t="inlineStr">
        <is>
          <t>SOUTH ZONE RO</t>
        </is>
      </c>
      <c r="B22" s="12" t="inlineStr">
        <is>
          <t>EAST ZONE RO</t>
        </is>
      </c>
      <c r="C22" s="12" t="inlineStr">
        <is>
          <t>SOUTH ZONE RO → EAST ZONE RO</t>
        </is>
      </c>
      <c r="D22" s="14" t="n">
        <v>152717.72</v>
      </c>
      <c r="E22" s="14" t="n">
        <v>103635.1</v>
      </c>
      <c r="F22" s="14" t="n">
        <v>106142.95</v>
      </c>
      <c r="G22" s="14" t="n">
        <v>112331</v>
      </c>
      <c r="H22" s="14" t="n">
        <v>474826.77</v>
      </c>
    </row>
    <row r="23">
      <c r="A23" s="12" t="inlineStr">
        <is>
          <t>SOUTH ZONE RO</t>
        </is>
      </c>
      <c r="B23" s="12" t="inlineStr">
        <is>
          <t>WEST ZONE RO</t>
        </is>
      </c>
      <c r="C23" s="12" t="inlineStr">
        <is>
          <t>SOUTH ZONE RO → WEST ZONE RO</t>
        </is>
      </c>
      <c r="D23" s="14" t="n">
        <v>9000</v>
      </c>
      <c r="E23" s="14" t="n">
        <v>6000</v>
      </c>
      <c r="F23" s="14" t="n">
        <v>800</v>
      </c>
      <c r="G23" s="14" t="n">
        <v>10921</v>
      </c>
      <c r="H23" s="14" t="n">
        <v>26721</v>
      </c>
    </row>
    <row r="24">
      <c r="A24" s="12" t="inlineStr">
        <is>
          <t>SOUTH ZONE RO</t>
        </is>
      </c>
      <c r="B24" s="12" t="inlineStr">
        <is>
          <t>SOUTH ZONE RO</t>
        </is>
      </c>
      <c r="C24" s="12" t="inlineStr">
        <is>
          <t>SOUTH ZONE RO → SOUTH ZONE RO</t>
        </is>
      </c>
      <c r="D24" s="14" t="n">
        <v>240</v>
      </c>
      <c r="E24" s="14" t="n">
        <v>1796</v>
      </c>
      <c r="F24" s="14" t="n">
        <v>5600</v>
      </c>
      <c r="G24" s="14" t="n">
        <v>9882</v>
      </c>
      <c r="H24" s="14" t="n">
        <v>17518</v>
      </c>
    </row>
    <row r="25">
      <c r="A25" s="12" t="inlineStr">
        <is>
          <t>SOUTH ZONE RO</t>
        </is>
      </c>
      <c r="B25" s="12" t="inlineStr">
        <is>
          <t>NORTH EAST ZONE RO</t>
        </is>
      </c>
      <c r="C25" s="12" t="inlineStr">
        <is>
          <t>SOUTH ZONE RO → NORTH EAST ZONE RO</t>
        </is>
      </c>
      <c r="D25" s="14" t="n">
        <v>155455.6</v>
      </c>
      <c r="E25" s="14" t="n">
        <v>100113</v>
      </c>
      <c r="F25" s="14" t="n">
        <v>109019</v>
      </c>
      <c r="G25" s="14" t="n">
        <v>123855</v>
      </c>
      <c r="H25" s="14" t="n">
        <v>488442.6</v>
      </c>
    </row>
    <row r="26">
      <c r="A26" s="12" t="inlineStr">
        <is>
          <t>SOUTH ZONE RO</t>
        </is>
      </c>
      <c r="B26" s="12" t="inlineStr">
        <is>
          <t>NEPAL ZONE</t>
        </is>
      </c>
      <c r="C26" s="12" t="inlineStr">
        <is>
          <t>SOUTH ZONE RO → NEPAL ZONE</t>
        </is>
      </c>
      <c r="D26" s="14" t="n">
        <v>281472.59</v>
      </c>
      <c r="E26" s="14" t="n">
        <v>311131.64</v>
      </c>
      <c r="F26" s="14" t="n">
        <v>310342.68</v>
      </c>
      <c r="G26" s="14" t="n">
        <v>198611.28</v>
      </c>
      <c r="H26" s="14" t="n">
        <v>1101558.19</v>
      </c>
    </row>
    <row r="27">
      <c r="A27" s="12" t="inlineStr">
        <is>
          <t>NORTH EAST ZONE RO</t>
        </is>
      </c>
      <c r="B27" s="12" t="inlineStr">
        <is>
          <t>NORTH ZONE RO</t>
        </is>
      </c>
      <c r="C27" s="12" t="inlineStr">
        <is>
          <t>NORTH EAST ZONE RO → NORTH ZONE RO</t>
        </is>
      </c>
      <c r="D27" s="14" t="n">
        <v>20</v>
      </c>
      <c r="E27" s="14" t="n">
        <v>380</v>
      </c>
      <c r="F27" s="14" t="n">
        <v>4050</v>
      </c>
      <c r="G27" s="14" t="n">
        <v>77800</v>
      </c>
      <c r="H27" s="14" t="n">
        <v>82250</v>
      </c>
    </row>
    <row r="28">
      <c r="A28" s="12" t="inlineStr">
        <is>
          <t>NORTH EAST ZONE RO</t>
        </is>
      </c>
      <c r="B28" s="12" t="inlineStr">
        <is>
          <t>EAST ZONE RO</t>
        </is>
      </c>
      <c r="C28" s="12" t="inlineStr">
        <is>
          <t>NORTH EAST ZONE RO → EAST ZONE RO</t>
        </is>
      </c>
      <c r="D28" s="12" t="n"/>
      <c r="E28" s="14" t="n">
        <v>3400</v>
      </c>
      <c r="F28" s="14" t="n">
        <v>1199</v>
      </c>
      <c r="G28" s="12" t="n"/>
      <c r="H28" s="14" t="n">
        <v>4599</v>
      </c>
    </row>
    <row r="29">
      <c r="A29" s="12" t="inlineStr">
        <is>
          <t>NORTH EAST ZONE RO</t>
        </is>
      </c>
      <c r="B29" s="12" t="inlineStr">
        <is>
          <t>WEST ZONE RO</t>
        </is>
      </c>
      <c r="C29" s="12" t="inlineStr">
        <is>
          <t>NORTH EAST ZONE RO → WEST ZONE RO</t>
        </is>
      </c>
      <c r="D29" s="12" t="n"/>
      <c r="E29" s="14" t="n">
        <v>2200</v>
      </c>
      <c r="F29" s="14" t="n">
        <v>35</v>
      </c>
      <c r="G29" s="12" t="n"/>
      <c r="H29" s="14" t="n">
        <v>2235</v>
      </c>
    </row>
    <row r="30">
      <c r="A30" s="12" t="inlineStr">
        <is>
          <t>NORTH EAST ZONE RO</t>
        </is>
      </c>
      <c r="B30" s="12" t="inlineStr">
        <is>
          <t>SOUTH ZONE RO</t>
        </is>
      </c>
      <c r="C30" s="12" t="inlineStr">
        <is>
          <t>NORTH EAST ZONE RO → SOUTH ZONE RO</t>
        </is>
      </c>
      <c r="D30" s="14" t="n">
        <v>3400</v>
      </c>
      <c r="E30" s="12" t="n"/>
      <c r="F30" s="12" t="n"/>
      <c r="G30" s="12" t="n"/>
      <c r="H30" s="14" t="n">
        <v>3400</v>
      </c>
    </row>
    <row r="31">
      <c r="A31" s="12" t="inlineStr">
        <is>
          <t>NORTH EAST ZONE RO</t>
        </is>
      </c>
      <c r="B31" s="12" t="inlineStr">
        <is>
          <t>NORTH EAST ZONE RO</t>
        </is>
      </c>
      <c r="C31" s="12" t="inlineStr">
        <is>
          <t>NORTH EAST ZONE RO → NORTH EAST ZONE RO</t>
        </is>
      </c>
      <c r="D31" s="14" t="n">
        <v>431793</v>
      </c>
      <c r="E31" s="14" t="n">
        <v>330918.7</v>
      </c>
      <c r="F31" s="14" t="n">
        <v>339613.36</v>
      </c>
      <c r="G31" s="14" t="n">
        <v>303188.267</v>
      </c>
      <c r="H31" s="14" t="n">
        <v>1405513.327</v>
      </c>
    </row>
    <row r="32">
      <c r="A32" s="12" t="inlineStr">
        <is>
          <t>NEPAL ZONE</t>
        </is>
      </c>
      <c r="B32" s="12" t="inlineStr">
        <is>
          <t>NORTH ZONE RO</t>
        </is>
      </c>
      <c r="C32" s="12" t="inlineStr">
        <is>
          <t>NEPAL ZONE → NORTH ZONE RO</t>
        </is>
      </c>
      <c r="D32" s="12" t="n"/>
      <c r="E32" s="14" t="n">
        <v>19717</v>
      </c>
      <c r="F32" s="14" t="n">
        <v>1600</v>
      </c>
      <c r="G32" s="14" t="n">
        <v>1195</v>
      </c>
      <c r="H32" s="14" t="n">
        <v>22512</v>
      </c>
    </row>
    <row r="33">
      <c r="A33" s="12" t="inlineStr">
        <is>
          <t>NEPAL ZONE</t>
        </is>
      </c>
      <c r="B33" s="12" t="inlineStr">
        <is>
          <t>EAST ZONE RO</t>
        </is>
      </c>
      <c r="C33" s="12" t="inlineStr">
        <is>
          <t>NEPAL ZONE → EAST ZONE RO</t>
        </is>
      </c>
      <c r="D33" s="12" t="n"/>
      <c r="E33" s="14" t="n">
        <v>1800</v>
      </c>
      <c r="F33" s="14" t="n">
        <v>135</v>
      </c>
      <c r="G33" s="12" t="n"/>
      <c r="H33" s="14" t="n">
        <v>1935</v>
      </c>
    </row>
    <row r="34">
      <c r="A34" s="12" t="inlineStr">
        <is>
          <t>NEPAL ZONE</t>
        </is>
      </c>
      <c r="B34" s="12" t="inlineStr">
        <is>
          <t>WEST ZONE RO</t>
        </is>
      </c>
      <c r="C34" s="12" t="inlineStr">
        <is>
          <t>NEPAL ZONE → WEST ZONE RO</t>
        </is>
      </c>
      <c r="D34" s="12" t="n"/>
      <c r="E34" s="14" t="n">
        <v>814</v>
      </c>
      <c r="F34" s="14" t="n">
        <v>458</v>
      </c>
      <c r="G34" s="14" t="n">
        <v>5195</v>
      </c>
      <c r="H34" s="14" t="n">
        <v>6467</v>
      </c>
    </row>
    <row r="35">
      <c r="A35" s="12" t="inlineStr">
        <is>
          <t>NEPAL ZONE</t>
        </is>
      </c>
      <c r="B35" s="12" t="inlineStr">
        <is>
          <t>SOUTH ZONE RO</t>
        </is>
      </c>
      <c r="C35" s="12" t="inlineStr">
        <is>
          <t>NEPAL ZONE → SOUTH ZONE RO</t>
        </is>
      </c>
      <c r="D35" s="14" t="n">
        <v>7146</v>
      </c>
      <c r="E35" s="12" t="n"/>
      <c r="F35" s="14" t="n">
        <v>480</v>
      </c>
      <c r="G35" s="14" t="n">
        <v>50</v>
      </c>
      <c r="H35" s="14" t="n">
        <v>7676</v>
      </c>
    </row>
    <row r="36">
      <c r="A36" s="12" t="inlineStr">
        <is>
          <t>NEPAL ZONE</t>
        </is>
      </c>
      <c r="B36" s="12" t="inlineStr">
        <is>
          <t>NEPAL ZONE</t>
        </is>
      </c>
      <c r="C36" s="12" t="inlineStr">
        <is>
          <t>NEPAL ZONE → NEPAL ZONE</t>
        </is>
      </c>
      <c r="D36" s="14" t="n">
        <v>94791.34</v>
      </c>
      <c r="E36" s="14" t="n">
        <v>60270</v>
      </c>
      <c r="F36" s="14" t="n">
        <v>59165</v>
      </c>
      <c r="G36" s="14" t="n">
        <v>73005</v>
      </c>
      <c r="H36" s="14" t="n">
        <v>287231.34</v>
      </c>
    </row>
  </sheetData>
  <mergeCells count="2">
    <mergeCell ref="A2:H2"/>
    <mergeCell ref="A1:H1"/>
  </mergeCells>
  <conditionalFormatting sqref="D5:D36">
    <cfRule type="colorScale" priority="1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E5:E36">
    <cfRule type="colorScale" priority="2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F5:F36">
    <cfRule type="colorScale" priority="3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G5:G36">
    <cfRule type="colorScale" priority="4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H5:H36">
    <cfRule type="colorScale" priority="5">
      <colorScale>
        <cfvo type="min"/>
        <cfvo type="percentile" val="50"/>
        <cfvo type="max"/>
        <color rgb="00F4C7C3"/>
        <color rgb="00FFF2CC"/>
        <color rgb="00B7E1C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20" customWidth="1" min="4" max="4"/>
    <col width="12" customWidth="1" min="5" max="5"/>
    <col width="16" customWidth="1" min="6" max="6"/>
    <col width="20" customWidth="1" min="7" max="7"/>
    <col width="15" customWidth="1" min="8" max="8"/>
    <col width="20" customWidth="1" min="9" max="9"/>
    <col width="20" customWidth="1" min="10" max="10"/>
    <col width="20" customWidth="1" min="11" max="11"/>
    <col width="21" customWidth="1" min="12" max="12"/>
    <col width="28" customWidth="1" min="13" max="13"/>
    <col width="22" customWidth="1" min="14" max="14"/>
    <col width="23" customWidth="1" min="15" max="15"/>
    <col width="23" customWidth="1" min="16" max="16"/>
    <col width="24" customWidth="1" min="17" max="17"/>
    <col width="23" customWidth="1" min="18" max="18"/>
  </cols>
  <sheetData>
    <row r="1" ht="22" customHeight="1">
      <c r="A1" s="6" t="inlineStr">
        <is>
          <t>OD pair yield across all months</t>
        </is>
      </c>
    </row>
    <row r="2" ht="18" customHeight="1">
      <c r="A2" s="7" t="inlineStr">
        <is>
          <t>Ranked by charged weight</t>
        </is>
      </c>
    </row>
    <row r="3"/>
    <row r="4" ht="32" customHeight="1">
      <c r="A4" s="11" t="inlineStr">
        <is>
          <t>Weight rank</t>
        </is>
      </c>
      <c r="B4" s="11" t="inlineStr">
        <is>
          <t>OD pair</t>
        </is>
      </c>
      <c r="C4" s="11" t="inlineStr">
        <is>
          <t>Origin zone</t>
        </is>
      </c>
      <c r="D4" s="11" t="inlineStr">
        <is>
          <t>Destination zone</t>
        </is>
      </c>
      <c r="E4" s="11" t="inlineStr">
        <is>
          <t>Shipments</t>
        </is>
      </c>
      <c r="F4" s="11" t="inlineStr">
        <is>
          <t>Charged weight</t>
        </is>
      </c>
      <c r="G4" s="11" t="inlineStr">
        <is>
          <t>Basic freight</t>
        </is>
      </c>
      <c r="H4" s="11" t="inlineStr">
        <is>
          <t>Total freight</t>
        </is>
      </c>
      <c r="I4" s="11" t="inlineStr">
        <is>
          <t>VAS freight</t>
        </is>
      </c>
      <c r="J4" s="11" t="inlineStr">
        <is>
          <t>Base yield</t>
        </is>
      </c>
      <c r="K4" s="11" t="inlineStr">
        <is>
          <t>Total yield</t>
        </is>
      </c>
      <c r="L4" s="11" t="inlineStr">
        <is>
          <t>VAS yield</t>
        </is>
      </c>
      <c r="M4" s="11" t="inlineStr">
        <is>
          <t>Yield uplift (total − base)</t>
        </is>
      </c>
      <c r="N4" s="11" t="inlineStr">
        <is>
          <t>Weight share %</t>
        </is>
      </c>
      <c r="O4" s="11" t="inlineStr">
        <is>
          <t>Total freight share %</t>
        </is>
      </c>
      <c r="P4" s="11" t="inlineStr">
        <is>
          <t>Base yield vs network</t>
        </is>
      </c>
      <c r="Q4" s="11" t="inlineStr">
        <is>
          <t>Total yield vs network</t>
        </is>
      </c>
      <c r="R4" s="11" t="inlineStr">
        <is>
          <t>Avg weight / shipment</t>
        </is>
      </c>
    </row>
    <row r="5">
      <c r="A5" s="17" t="n">
        <v>1</v>
      </c>
      <c r="B5" s="12" t="inlineStr">
        <is>
          <t>NORTH ZONE RO → NEPAL ZONE</t>
        </is>
      </c>
      <c r="C5" s="12" t="inlineStr">
        <is>
          <t>NORTH ZONE RO</t>
        </is>
      </c>
      <c r="D5" s="12" t="inlineStr">
        <is>
          <t>NEPAL ZONE</t>
        </is>
      </c>
      <c r="E5" s="13" t="n">
        <v>7616</v>
      </c>
      <c r="F5" s="14" t="n">
        <v>7860881.45</v>
      </c>
      <c r="G5" s="14" t="n">
        <v>66360890.25</v>
      </c>
      <c r="H5" s="14" t="n">
        <v>85284735.36</v>
      </c>
      <c r="I5" s="14" t="n">
        <v>18923845.11</v>
      </c>
      <c r="J5" s="16" t="n">
        <v>8.441914646861898</v>
      </c>
      <c r="K5" s="16" t="n">
        <v>10.84925855992905</v>
      </c>
      <c r="L5" s="16" t="n">
        <v>2.407343913067153</v>
      </c>
      <c r="M5" s="16" t="n">
        <v>2.407343913067153</v>
      </c>
      <c r="N5" s="15" t="n">
        <v>25.08982814907838</v>
      </c>
      <c r="O5" s="15" t="n">
        <v>21.0561375685262</v>
      </c>
      <c r="P5" s="16" t="n">
        <v>-1.832965183735165</v>
      </c>
      <c r="Q5" s="16" t="n">
        <v>-2.078375101641402</v>
      </c>
      <c r="R5" s="14" t="n">
        <v>1032.153551733193</v>
      </c>
    </row>
    <row r="6">
      <c r="A6" s="17" t="n">
        <v>2</v>
      </c>
      <c r="B6" s="12" t="inlineStr">
        <is>
          <t>NORTH ZONE RO → NORTH EAST ZONE RO</t>
        </is>
      </c>
      <c r="C6" s="12" t="inlineStr">
        <is>
          <t>NORTH ZONE RO</t>
        </is>
      </c>
      <c r="D6" s="12" t="inlineStr">
        <is>
          <t>NORTH EAST ZONE RO</t>
        </is>
      </c>
      <c r="E6" s="13" t="n">
        <v>10138</v>
      </c>
      <c r="F6" s="14" t="n">
        <v>5829951.3</v>
      </c>
      <c r="G6" s="14" t="n">
        <v>67510350.04000001</v>
      </c>
      <c r="H6" s="14" t="n">
        <v>80114120.06999999</v>
      </c>
      <c r="I6" s="14" t="n">
        <v>12603770.03</v>
      </c>
      <c r="J6" s="16" t="n">
        <v>11.57991663498115</v>
      </c>
      <c r="K6" s="16" t="n">
        <v>13.74181634587582</v>
      </c>
      <c r="L6" s="16" t="n">
        <v>2.161899710894669</v>
      </c>
      <c r="M6" s="16" t="n">
        <v>2.161899710894668</v>
      </c>
      <c r="N6" s="15" t="n">
        <v>18.60764306965806</v>
      </c>
      <c r="O6" s="15" t="n">
        <v>19.77955288545724</v>
      </c>
      <c r="P6" s="16" t="n">
        <v>1.305036804384091</v>
      </c>
      <c r="Q6" s="16" t="n">
        <v>0.8141826843053686</v>
      </c>
      <c r="R6" s="14" t="n">
        <v>575.0593115012823</v>
      </c>
    </row>
    <row r="7">
      <c r="A7" s="17" t="n">
        <v>3</v>
      </c>
      <c r="B7" s="12" t="inlineStr">
        <is>
          <t>WEST ZONE RO → NEPAL ZONE</t>
        </is>
      </c>
      <c r="C7" s="12" t="inlineStr">
        <is>
          <t>WEST ZONE RO</t>
        </is>
      </c>
      <c r="D7" s="12" t="inlineStr">
        <is>
          <t>NEPAL ZONE</t>
        </is>
      </c>
      <c r="E7" s="13" t="n">
        <v>5180</v>
      </c>
      <c r="F7" s="14" t="n">
        <v>4807804.58</v>
      </c>
      <c r="G7" s="14" t="n">
        <v>62339424.31</v>
      </c>
      <c r="H7" s="14" t="n">
        <v>80951668.01000001</v>
      </c>
      <c r="I7" s="14" t="n">
        <v>18612243.7</v>
      </c>
      <c r="J7" s="16" t="n">
        <v>12.9662974592033</v>
      </c>
      <c r="K7" s="16" t="n">
        <v>16.83755374474892</v>
      </c>
      <c r="L7" s="16" t="n">
        <v>3.871256285545616</v>
      </c>
      <c r="M7" s="16" t="n">
        <v>3.871256285545618</v>
      </c>
      <c r="N7" s="15" t="n">
        <v>15.3452245087034</v>
      </c>
      <c r="O7" s="15" t="n">
        <v>19.98633695496785</v>
      </c>
      <c r="P7" s="16" t="n">
        <v>2.691417628606239</v>
      </c>
      <c r="Q7" s="16" t="n">
        <v>3.909920083178466</v>
      </c>
      <c r="R7" s="14" t="n">
        <v>928.1476023166023</v>
      </c>
    </row>
    <row r="8">
      <c r="A8" s="17" t="n">
        <v>4</v>
      </c>
      <c r="B8" s="12" t="inlineStr">
        <is>
          <t>NORTH ZONE RO → EAST ZONE RO</t>
        </is>
      </c>
      <c r="C8" s="12" t="inlineStr">
        <is>
          <t>NORTH ZONE RO</t>
        </is>
      </c>
      <c r="D8" s="12" t="inlineStr">
        <is>
          <t>EAST ZONE RO</t>
        </is>
      </c>
      <c r="E8" s="13" t="n">
        <v>3845</v>
      </c>
      <c r="F8" s="14" t="n">
        <v>2751096.168</v>
      </c>
      <c r="G8" s="14" t="n">
        <v>23840887.37</v>
      </c>
      <c r="H8" s="14" t="n">
        <v>30092094.85</v>
      </c>
      <c r="I8" s="14" t="n">
        <v>6251207.48</v>
      </c>
      <c r="J8" s="16" t="n">
        <v>8.665959280998861</v>
      </c>
      <c r="K8" s="16" t="n">
        <v>10.93821989940702</v>
      </c>
      <c r="L8" s="16" t="n">
        <v>2.27226061840816</v>
      </c>
      <c r="M8" s="16" t="n">
        <v>2.27226061840816</v>
      </c>
      <c r="N8" s="15" t="n">
        <v>8.780762121365926</v>
      </c>
      <c r="O8" s="15" t="n">
        <v>7.429504074933424</v>
      </c>
      <c r="P8" s="16" t="n">
        <v>-1.608920549598203</v>
      </c>
      <c r="Q8" s="16" t="n">
        <v>-1.989413762163434</v>
      </c>
      <c r="R8" s="14" t="n">
        <v>715.4996535760729</v>
      </c>
    </row>
    <row r="9">
      <c r="A9" s="17" t="n">
        <v>5</v>
      </c>
      <c r="B9" s="12" t="inlineStr">
        <is>
          <t>WEST ZONE RO → NORTH EAST ZONE RO</t>
        </is>
      </c>
      <c r="C9" s="12" t="inlineStr">
        <is>
          <t>WEST ZONE RO</t>
        </is>
      </c>
      <c r="D9" s="12" t="inlineStr">
        <is>
          <t>NORTH EAST ZONE RO</t>
        </is>
      </c>
      <c r="E9" s="13" t="n">
        <v>2902</v>
      </c>
      <c r="F9" s="14" t="n">
        <v>1703289.31</v>
      </c>
      <c r="G9" s="14" t="n">
        <v>24385759.15</v>
      </c>
      <c r="H9" s="14" t="n">
        <v>28957523.49</v>
      </c>
      <c r="I9" s="14" t="n">
        <v>4571764.34</v>
      </c>
      <c r="J9" s="16" t="n">
        <v>14.31686267672284</v>
      </c>
      <c r="K9" s="16" t="n">
        <v>17.00094242357454</v>
      </c>
      <c r="L9" s="16" t="n">
        <v>2.684079746851696</v>
      </c>
      <c r="M9" s="16" t="n">
        <v>2.684079746851696</v>
      </c>
      <c r="N9" s="15" t="n">
        <v>5.436443272664071</v>
      </c>
      <c r="O9" s="15" t="n">
        <v>7.149387234133862</v>
      </c>
      <c r="P9" s="16" t="n">
        <v>4.041982846125777</v>
      </c>
      <c r="Q9" s="16" t="n">
        <v>4.073308762004082</v>
      </c>
      <c r="R9" s="14" t="n">
        <v>586.9363576843556</v>
      </c>
    </row>
    <row r="10">
      <c r="A10" s="17" t="n">
        <v>6</v>
      </c>
      <c r="B10" s="12" t="inlineStr">
        <is>
          <t>NORTH EAST ZONE RO → NORTH EAST ZONE RO</t>
        </is>
      </c>
      <c r="C10" s="12" t="inlineStr">
        <is>
          <t>NORTH EAST ZONE RO</t>
        </is>
      </c>
      <c r="D10" s="12" t="inlineStr">
        <is>
          <t>NORTH EAST ZONE RO</t>
        </is>
      </c>
      <c r="E10" s="13" t="n">
        <v>1865</v>
      </c>
      <c r="F10" s="14" t="n">
        <v>1405513.327</v>
      </c>
      <c r="G10" s="14" t="n">
        <v>8268840.87</v>
      </c>
      <c r="H10" s="14" t="n">
        <v>9348122.99</v>
      </c>
      <c r="I10" s="14" t="n">
        <v>1079282.12</v>
      </c>
      <c r="J10" s="16" t="n">
        <v>5.883146542373554</v>
      </c>
      <c r="K10" s="16" t="n">
        <v>6.651038314914533</v>
      </c>
      <c r="L10" s="16" t="n">
        <v>0.7678917725409798</v>
      </c>
      <c r="M10" s="16" t="n">
        <v>0.7678917725409793</v>
      </c>
      <c r="N10" s="15" t="n">
        <v>4.486022090521338</v>
      </c>
      <c r="O10" s="15" t="n">
        <v>2.307978829436125</v>
      </c>
      <c r="P10" s="16" t="n">
        <v>-4.391733288223509</v>
      </c>
      <c r="Q10" s="16" t="n">
        <v>-6.27659534665592</v>
      </c>
      <c r="R10" s="14" t="n">
        <v>753.6264487935657</v>
      </c>
    </row>
    <row r="11">
      <c r="A11" s="17" t="n">
        <v>7</v>
      </c>
      <c r="B11" s="12" t="inlineStr">
        <is>
          <t>WEST ZONE RO → EAST ZONE RO</t>
        </is>
      </c>
      <c r="C11" s="12" t="inlineStr">
        <is>
          <t>WEST ZONE RO</t>
        </is>
      </c>
      <c r="D11" s="12" t="inlineStr">
        <is>
          <t>EAST ZONE RO</t>
        </is>
      </c>
      <c r="E11" s="13" t="n">
        <v>1474</v>
      </c>
      <c r="F11" s="14" t="n">
        <v>1129038.28</v>
      </c>
      <c r="G11" s="14" t="n">
        <v>13718311.55</v>
      </c>
      <c r="H11" s="14" t="n">
        <v>17949387.44</v>
      </c>
      <c r="I11" s="14" t="n">
        <v>4231075.89</v>
      </c>
      <c r="J11" s="16" t="n">
        <v>12.15043970874043</v>
      </c>
      <c r="K11" s="16" t="n">
        <v>15.89794408033712</v>
      </c>
      <c r="L11" s="16" t="n">
        <v>3.747504371596683</v>
      </c>
      <c r="M11" s="16" t="n">
        <v>3.747504371596683</v>
      </c>
      <c r="N11" s="15" t="n">
        <v>3.603587790899841</v>
      </c>
      <c r="O11" s="15" t="n">
        <v>4.431564096576641</v>
      </c>
      <c r="P11" s="16" t="n">
        <v>1.87555987814337</v>
      </c>
      <c r="Q11" s="16" t="n">
        <v>2.970310418766664</v>
      </c>
      <c r="R11" s="14" t="n">
        <v>765.9689823609227</v>
      </c>
    </row>
    <row r="12">
      <c r="A12" s="17" t="n">
        <v>8</v>
      </c>
      <c r="B12" s="12" t="inlineStr">
        <is>
          <t>SOUTH ZONE RO → NEPAL ZONE</t>
        </is>
      </c>
      <c r="C12" s="12" t="inlineStr">
        <is>
          <t>SOUTH ZONE RO</t>
        </is>
      </c>
      <c r="D12" s="12" t="inlineStr">
        <is>
          <t>NEPAL ZONE</t>
        </is>
      </c>
      <c r="E12" s="13" t="n">
        <v>1047</v>
      </c>
      <c r="F12" s="14" t="n">
        <v>1101558.19</v>
      </c>
      <c r="G12" s="14" t="n">
        <v>17125676.22</v>
      </c>
      <c r="H12" s="14" t="n">
        <v>22956162.66</v>
      </c>
      <c r="I12" s="14" t="n">
        <v>5830486.44</v>
      </c>
      <c r="J12" s="16" t="n">
        <v>15.54677399293813</v>
      </c>
      <c r="K12" s="16" t="n">
        <v>20.83971856266622</v>
      </c>
      <c r="L12" s="16" t="n">
        <v>5.292944569728087</v>
      </c>
      <c r="M12" s="16" t="n">
        <v>5.292944569728087</v>
      </c>
      <c r="N12" s="15" t="n">
        <v>3.515878703820146</v>
      </c>
      <c r="O12" s="15" t="n">
        <v>5.667697941185525</v>
      </c>
      <c r="P12" s="16" t="n">
        <v>5.271894162341066</v>
      </c>
      <c r="Q12" s="16" t="n">
        <v>7.912084901095763</v>
      </c>
      <c r="R12" s="14" t="n">
        <v>1052.109063992359</v>
      </c>
    </row>
    <row r="13">
      <c r="A13" s="17" t="n">
        <v>9</v>
      </c>
      <c r="B13" s="12" t="inlineStr">
        <is>
          <t>EAST ZONE RO → NORTH EAST ZONE RO</t>
        </is>
      </c>
      <c r="C13" s="12" t="inlineStr">
        <is>
          <t>EAST ZONE RO</t>
        </is>
      </c>
      <c r="D13" s="12" t="inlineStr">
        <is>
          <t>NORTH EAST ZONE RO</t>
        </is>
      </c>
      <c r="E13" s="13" t="n">
        <v>2559</v>
      </c>
      <c r="F13" s="14" t="n">
        <v>1007472.11</v>
      </c>
      <c r="G13" s="14" t="n">
        <v>8243217.79</v>
      </c>
      <c r="H13" s="14" t="n">
        <v>10268821.99</v>
      </c>
      <c r="I13" s="14" t="n">
        <v>2025604.2</v>
      </c>
      <c r="J13" s="16" t="n">
        <v>8.182080385331957</v>
      </c>
      <c r="K13" s="16" t="n">
        <v>10.19266130354715</v>
      </c>
      <c r="L13" s="16" t="n">
        <v>2.010580918215195</v>
      </c>
      <c r="M13" s="16" t="n">
        <v>2.010580918215195</v>
      </c>
      <c r="N13" s="15" t="n">
        <v>3.215581136246418</v>
      </c>
      <c r="O13" s="15" t="n">
        <v>2.535292248670782</v>
      </c>
      <c r="P13" s="16" t="n">
        <v>-2.092799445265106</v>
      </c>
      <c r="Q13" s="16" t="n">
        <v>-2.734972358023301</v>
      </c>
      <c r="R13" s="14" t="n">
        <v>393.6975810863619</v>
      </c>
    </row>
    <row r="14">
      <c r="A14" s="17" t="n">
        <v>10</v>
      </c>
      <c r="B14" s="12" t="inlineStr">
        <is>
          <t>EAST ZONE RO → NEPAL ZONE</t>
        </is>
      </c>
      <c r="C14" s="12" t="inlineStr">
        <is>
          <t>EAST ZONE RO</t>
        </is>
      </c>
      <c r="D14" s="12" t="inlineStr">
        <is>
          <t>NEPAL ZONE</t>
        </is>
      </c>
      <c r="E14" s="13" t="n">
        <v>807</v>
      </c>
      <c r="F14" s="14" t="n">
        <v>638884.192</v>
      </c>
      <c r="G14" s="14" t="n">
        <v>5126175.05</v>
      </c>
      <c r="H14" s="14" t="n">
        <v>7220550.35</v>
      </c>
      <c r="I14" s="14" t="n">
        <v>2094375.3</v>
      </c>
      <c r="J14" s="16" t="n">
        <v>8.023637326121225</v>
      </c>
      <c r="K14" s="16" t="n">
        <v>11.30181406961467</v>
      </c>
      <c r="L14" s="16" t="n">
        <v>3.278176743493443</v>
      </c>
      <c r="M14" s="16" t="n">
        <v>3.278176743493443</v>
      </c>
      <c r="N14" s="15" t="n">
        <v>2.039147223679705</v>
      </c>
      <c r="O14" s="15" t="n">
        <v>1.782697699046597</v>
      </c>
      <c r="P14" s="16" t="n">
        <v>-2.251242504475838</v>
      </c>
      <c r="Q14" s="16" t="n">
        <v>-1.625819591955786</v>
      </c>
      <c r="R14" s="14" t="n">
        <v>791.6780570012392</v>
      </c>
    </row>
    <row r="15">
      <c r="A15" s="17" t="n">
        <v>11</v>
      </c>
      <c r="B15" s="12" t="inlineStr">
        <is>
          <t>NORTH ZONE RO → SOUTH ZONE RO</t>
        </is>
      </c>
      <c r="C15" s="12" t="inlineStr">
        <is>
          <t>NORTH ZONE RO</t>
        </is>
      </c>
      <c r="D15" s="12" t="inlineStr">
        <is>
          <t>SOUTH ZONE RO</t>
        </is>
      </c>
      <c r="E15" s="13" t="n">
        <v>335</v>
      </c>
      <c r="F15" s="14" t="n">
        <v>546950</v>
      </c>
      <c r="G15" s="14" t="n">
        <v>4274866.39</v>
      </c>
      <c r="H15" s="14" t="n">
        <v>4988998.71</v>
      </c>
      <c r="I15" s="14" t="n">
        <v>714132.3199999999</v>
      </c>
      <c r="J15" s="16" t="n">
        <v>7.815826656915623</v>
      </c>
      <c r="K15" s="16" t="n">
        <v>9.12148955114727</v>
      </c>
      <c r="L15" s="16" t="n">
        <v>1.305662894231648</v>
      </c>
      <c r="M15" s="16" t="n">
        <v>1.305662894231648</v>
      </c>
      <c r="N15" s="15" t="n">
        <v>1.745717906245542</v>
      </c>
      <c r="O15" s="15" t="n">
        <v>1.231744962607101</v>
      </c>
      <c r="P15" s="16" t="n">
        <v>-2.459053173681441</v>
      </c>
      <c r="Q15" s="16" t="n">
        <v>-3.806144110423183</v>
      </c>
      <c r="R15" s="14" t="n">
        <v>1632.686567164179</v>
      </c>
    </row>
    <row r="16">
      <c r="A16" s="17" t="n">
        <v>12</v>
      </c>
      <c r="B16" s="12" t="inlineStr">
        <is>
          <t>SOUTH ZONE RO → NORTH EAST ZONE RO</t>
        </is>
      </c>
      <c r="C16" s="12" t="inlineStr">
        <is>
          <t>SOUTH ZONE RO</t>
        </is>
      </c>
      <c r="D16" s="12" t="inlineStr">
        <is>
          <t>NORTH EAST ZONE RO</t>
        </is>
      </c>
      <c r="E16" s="13" t="n">
        <v>850</v>
      </c>
      <c r="F16" s="14" t="n">
        <v>488442.6</v>
      </c>
      <c r="G16" s="14" t="n">
        <v>7272345.71</v>
      </c>
      <c r="H16" s="14" t="n">
        <v>8617494.42</v>
      </c>
      <c r="I16" s="14" t="n">
        <v>1345148.71</v>
      </c>
      <c r="J16" s="16" t="n">
        <v>14.88884407297807</v>
      </c>
      <c r="K16" s="16" t="n">
        <v>17.64279860110482</v>
      </c>
      <c r="L16" s="16" t="n">
        <v>2.753954528126744</v>
      </c>
      <c r="M16" s="16" t="n">
        <v>2.753954528126744</v>
      </c>
      <c r="N16" s="15" t="n">
        <v>1.558977955924909</v>
      </c>
      <c r="O16" s="15" t="n">
        <v>2.127592320449769</v>
      </c>
      <c r="P16" s="16" t="n">
        <v>4.613964242381011</v>
      </c>
      <c r="Q16" s="16" t="n">
        <v>4.715164939534365</v>
      </c>
      <c r="R16" s="14" t="n">
        <v>574.6383529411764</v>
      </c>
    </row>
    <row r="17">
      <c r="A17" s="17" t="n">
        <v>13</v>
      </c>
      <c r="B17" s="12" t="inlineStr">
        <is>
          <t>SOUTH ZONE RO → EAST ZONE RO</t>
        </is>
      </c>
      <c r="C17" s="12" t="inlineStr">
        <is>
          <t>SOUTH ZONE RO</t>
        </is>
      </c>
      <c r="D17" s="12" t="inlineStr">
        <is>
          <t>EAST ZONE RO</t>
        </is>
      </c>
      <c r="E17" s="13" t="n">
        <v>724</v>
      </c>
      <c r="F17" s="14" t="n">
        <v>474826.77</v>
      </c>
      <c r="G17" s="14" t="n">
        <v>5091227.37</v>
      </c>
      <c r="H17" s="14" t="n">
        <v>6868022.94</v>
      </c>
      <c r="I17" s="14" t="n">
        <v>1776795.57</v>
      </c>
      <c r="J17" s="16" t="n">
        <v>10.72228377098452</v>
      </c>
      <c r="K17" s="16" t="n">
        <v>14.46427070655684</v>
      </c>
      <c r="L17" s="16" t="n">
        <v>3.741986935572314</v>
      </c>
      <c r="M17" s="16" t="n">
        <v>3.741986935572314</v>
      </c>
      <c r="N17" s="15" t="n">
        <v>1.515519873395618</v>
      </c>
      <c r="O17" s="15" t="n">
        <v>1.695661424497545</v>
      </c>
      <c r="P17" s="16" t="n">
        <v>0.4474039403874581</v>
      </c>
      <c r="Q17" s="16" t="n">
        <v>1.536637044986382</v>
      </c>
      <c r="R17" s="14" t="n">
        <v>655.8380801104972</v>
      </c>
    </row>
    <row r="18">
      <c r="A18" s="17" t="n">
        <v>14</v>
      </c>
      <c r="B18" s="12" t="inlineStr">
        <is>
          <t>NEPAL ZONE → NEPAL ZONE</t>
        </is>
      </c>
      <c r="C18" s="12" t="inlineStr">
        <is>
          <t>NEPAL ZONE</t>
        </is>
      </c>
      <c r="D18" s="12" t="inlineStr">
        <is>
          <t>NEPAL ZONE</t>
        </is>
      </c>
      <c r="E18" s="13" t="n">
        <v>147</v>
      </c>
      <c r="F18" s="14" t="n">
        <v>287231.34</v>
      </c>
      <c r="G18" s="14" t="n">
        <v>514834.84</v>
      </c>
      <c r="H18" s="14" t="n">
        <v>1085370.37</v>
      </c>
      <c r="I18" s="14" t="n">
        <v>570535.53</v>
      </c>
      <c r="J18" s="16" t="n">
        <v>1.792404826019333</v>
      </c>
      <c r="K18" s="16" t="n">
        <v>3.778732397376972</v>
      </c>
      <c r="L18" s="16" t="n">
        <v>1.986327571357638</v>
      </c>
      <c r="M18" s="16" t="n">
        <v>1.986327571357638</v>
      </c>
      <c r="N18" s="15" t="n">
        <v>0.9167655059382054</v>
      </c>
      <c r="O18" s="15" t="n">
        <v>0.2679694991964642</v>
      </c>
      <c r="P18" s="16" t="n">
        <v>-8.482475004577731</v>
      </c>
      <c r="Q18" s="16" t="n">
        <v>-9.148901264193482</v>
      </c>
      <c r="R18" s="14" t="n">
        <v>1953.954693877551</v>
      </c>
    </row>
    <row r="19">
      <c r="A19" s="17" t="n">
        <v>15</v>
      </c>
      <c r="B19" s="12" t="inlineStr">
        <is>
          <t>EAST ZONE RO → EAST ZONE RO</t>
        </is>
      </c>
      <c r="C19" s="12" t="inlineStr">
        <is>
          <t>EAST ZONE RO</t>
        </is>
      </c>
      <c r="D19" s="12" t="inlineStr">
        <is>
          <t>EAST ZONE RO</t>
        </is>
      </c>
      <c r="E19" s="13" t="n">
        <v>317</v>
      </c>
      <c r="F19" s="14" t="n">
        <v>192209.294</v>
      </c>
      <c r="G19" s="14" t="n">
        <v>1142126.35</v>
      </c>
      <c r="H19" s="14" t="n">
        <v>1956189.34</v>
      </c>
      <c r="I19" s="14" t="n">
        <v>814062.99</v>
      </c>
      <c r="J19" s="16" t="n">
        <v>5.942097420117469</v>
      </c>
      <c r="K19" s="16" t="n">
        <v>10.17739204640125</v>
      </c>
      <c r="L19" s="16" t="n">
        <v>4.235294626283785</v>
      </c>
      <c r="M19" s="16" t="n">
        <v>4.235294626283785</v>
      </c>
      <c r="N19" s="15" t="n">
        <v>0.6134805855793286</v>
      </c>
      <c r="O19" s="15" t="n">
        <v>0.4829679271355655</v>
      </c>
      <c r="P19" s="16" t="n">
        <v>-4.332782410479594</v>
      </c>
      <c r="Q19" s="16" t="n">
        <v>-2.7502416151692</v>
      </c>
      <c r="R19" s="14" t="n">
        <v>606.3384668769716</v>
      </c>
    </row>
    <row r="20">
      <c r="A20" s="17" t="n">
        <v>16</v>
      </c>
      <c r="B20" s="12" t="inlineStr">
        <is>
          <t>WEST ZONE RO → NORTH ZONE RO</t>
        </is>
      </c>
      <c r="C20" s="12" t="inlineStr">
        <is>
          <t>WEST ZONE RO</t>
        </is>
      </c>
      <c r="D20" s="12" t="inlineStr">
        <is>
          <t>NORTH ZONE RO</t>
        </is>
      </c>
      <c r="E20" s="13" t="n">
        <v>85</v>
      </c>
      <c r="F20" s="14" t="n">
        <v>180911</v>
      </c>
      <c r="G20" s="14" t="n">
        <v>1173637.9</v>
      </c>
      <c r="H20" s="14" t="n">
        <v>1434793.05</v>
      </c>
      <c r="I20" s="14" t="n">
        <v>261155.15</v>
      </c>
      <c r="J20" s="16" t="n">
        <v>6.487377218632366</v>
      </c>
      <c r="K20" s="16" t="n">
        <v>7.930933166031917</v>
      </c>
      <c r="L20" s="16" t="n">
        <v>1.44355594739955</v>
      </c>
      <c r="M20" s="16" t="n">
        <v>1.443555947399551</v>
      </c>
      <c r="N20" s="15" t="n">
        <v>0.5774194572388468</v>
      </c>
      <c r="O20" s="15" t="n">
        <v>0.3542392400661051</v>
      </c>
      <c r="P20" s="16" t="n">
        <v>-3.787502611964698</v>
      </c>
      <c r="Q20" s="16" t="n">
        <v>-4.996700495538537</v>
      </c>
      <c r="R20" s="14" t="n">
        <v>2128.364705882353</v>
      </c>
    </row>
    <row r="21">
      <c r="A21" s="17" t="n">
        <v>17</v>
      </c>
      <c r="B21" s="12" t="inlineStr">
        <is>
          <t>NORTH ZONE RO → NORTH ZONE RO</t>
        </is>
      </c>
      <c r="C21" s="12" t="inlineStr">
        <is>
          <t>NORTH ZONE RO</t>
        </is>
      </c>
      <c r="D21" s="12" t="inlineStr">
        <is>
          <t>NORTH ZONE RO</t>
        </is>
      </c>
      <c r="E21" s="13" t="n">
        <v>198</v>
      </c>
      <c r="F21" s="14" t="n">
        <v>166991</v>
      </c>
      <c r="G21" s="14" t="n">
        <v>859435.05</v>
      </c>
      <c r="H21" s="14" t="n">
        <v>1077815.9</v>
      </c>
      <c r="I21" s="14" t="n">
        <v>218380.85</v>
      </c>
      <c r="J21" s="16" t="n">
        <v>5.14659502607925</v>
      </c>
      <c r="K21" s="16" t="n">
        <v>6.454335263577079</v>
      </c>
      <c r="L21" s="16" t="n">
        <v>1.307740237497829</v>
      </c>
      <c r="M21" s="16" t="n">
        <v>1.307740237497828</v>
      </c>
      <c r="N21" s="15" t="n">
        <v>0.5329905455377079</v>
      </c>
      <c r="O21" s="15" t="n">
        <v>0.2661043593340274</v>
      </c>
      <c r="P21" s="16" t="n">
        <v>-5.128284804517813</v>
      </c>
      <c r="Q21" s="16" t="n">
        <v>-6.473298397993375</v>
      </c>
      <c r="R21" s="14" t="n">
        <v>843.3888888888889</v>
      </c>
    </row>
    <row r="22">
      <c r="A22" s="17" t="n">
        <v>18</v>
      </c>
      <c r="B22" s="12" t="inlineStr">
        <is>
          <t>SOUTH ZONE RO → NORTH ZONE RO</t>
        </is>
      </c>
      <c r="C22" s="12" t="inlineStr">
        <is>
          <t>SOUTH ZONE RO</t>
        </is>
      </c>
      <c r="D22" s="12" t="inlineStr">
        <is>
          <t>NORTH ZONE RO</t>
        </is>
      </c>
      <c r="E22" s="13" t="n">
        <v>169</v>
      </c>
      <c r="F22" s="14" t="n">
        <v>149968.55</v>
      </c>
      <c r="G22" s="14" t="n">
        <v>1166197.91</v>
      </c>
      <c r="H22" s="14" t="n">
        <v>1482954.25</v>
      </c>
      <c r="I22" s="14" t="n">
        <v>316756.34</v>
      </c>
      <c r="J22" s="16" t="n">
        <v>7.776283160702694</v>
      </c>
      <c r="K22" s="16" t="n">
        <v>9.888434941859478</v>
      </c>
      <c r="L22" s="16" t="n">
        <v>2.112151781156783</v>
      </c>
      <c r="M22" s="16" t="n">
        <v>2.112151781156784</v>
      </c>
      <c r="N22" s="15" t="n">
        <v>0.4786594443892126</v>
      </c>
      <c r="O22" s="15" t="n">
        <v>0.3661298656087029</v>
      </c>
      <c r="P22" s="16" t="n">
        <v>-2.498596669894369</v>
      </c>
      <c r="Q22" s="16" t="n">
        <v>-3.039198719710976</v>
      </c>
      <c r="R22" s="14" t="n">
        <v>887.3878698224852</v>
      </c>
    </row>
    <row r="23">
      <c r="A23" s="17" t="n">
        <v>19</v>
      </c>
      <c r="B23" s="12" t="inlineStr">
        <is>
          <t>WEST ZONE RO → WEST ZONE RO</t>
        </is>
      </c>
      <c r="C23" s="12" t="inlineStr">
        <is>
          <t>WEST ZONE RO</t>
        </is>
      </c>
      <c r="D23" s="12" t="inlineStr">
        <is>
          <t>WEST ZONE RO</t>
        </is>
      </c>
      <c r="E23" s="13" t="n">
        <v>81</v>
      </c>
      <c r="F23" s="14" t="n">
        <v>141914</v>
      </c>
      <c r="G23" s="14" t="n">
        <v>656738.26</v>
      </c>
      <c r="H23" s="14" t="n">
        <v>889420.03</v>
      </c>
      <c r="I23" s="14" t="n">
        <v>232681.77</v>
      </c>
      <c r="J23" s="16" t="n">
        <v>4.627720027622363</v>
      </c>
      <c r="K23" s="16" t="n">
        <v>6.267317037078795</v>
      </c>
      <c r="L23" s="16" t="n">
        <v>1.639597009456431</v>
      </c>
      <c r="M23" s="16" t="n">
        <v>1.639597009456431</v>
      </c>
      <c r="N23" s="15" t="n">
        <v>0.4529514781002465</v>
      </c>
      <c r="O23" s="15" t="n">
        <v>0.219590884920144</v>
      </c>
      <c r="P23" s="16" t="n">
        <v>-5.6471598029747</v>
      </c>
      <c r="Q23" s="16" t="n">
        <v>-6.660316624491659</v>
      </c>
      <c r="R23" s="14" t="n">
        <v>1752.024691358025</v>
      </c>
    </row>
    <row r="24">
      <c r="A24" s="17" t="n">
        <v>20</v>
      </c>
      <c r="B24" s="12" t="inlineStr">
        <is>
          <t>EAST ZONE RO → NORTH ZONE RO</t>
        </is>
      </c>
      <c r="C24" s="12" t="inlineStr">
        <is>
          <t>EAST ZONE RO</t>
        </is>
      </c>
      <c r="D24" s="12" t="inlineStr">
        <is>
          <t>NORTH ZONE RO</t>
        </is>
      </c>
      <c r="E24" s="13" t="n">
        <v>388</v>
      </c>
      <c r="F24" s="14" t="n">
        <v>122092.29</v>
      </c>
      <c r="G24" s="14" t="n">
        <v>733622.95</v>
      </c>
      <c r="H24" s="14" t="n">
        <v>862233.49</v>
      </c>
      <c r="I24" s="14" t="n">
        <v>128610.54</v>
      </c>
      <c r="J24" s="16" t="n">
        <v>6.008757391642011</v>
      </c>
      <c r="K24" s="16" t="n">
        <v>7.062145283703009</v>
      </c>
      <c r="L24" s="16" t="n">
        <v>1.053387892060997</v>
      </c>
      <c r="M24" s="16" t="n">
        <v>1.053387892060997</v>
      </c>
      <c r="N24" s="15" t="n">
        <v>0.3896858887787248</v>
      </c>
      <c r="O24" s="15" t="n">
        <v>0.2128787397298486</v>
      </c>
      <c r="P24" s="16" t="n">
        <v>-4.266122438955052</v>
      </c>
      <c r="Q24" s="16" t="n">
        <v>-5.865488377867445</v>
      </c>
      <c r="R24" s="14" t="n">
        <v>314.6708505154639</v>
      </c>
    </row>
    <row r="25">
      <c r="A25" s="17" t="n">
        <v>21</v>
      </c>
      <c r="B25" s="12" t="inlineStr">
        <is>
          <t>WEST ZONE RO → SOUTH ZONE RO</t>
        </is>
      </c>
      <c r="C25" s="12" t="inlineStr">
        <is>
          <t>WEST ZONE RO</t>
        </is>
      </c>
      <c r="D25" s="12" t="inlineStr">
        <is>
          <t>SOUTH ZONE RO</t>
        </is>
      </c>
      <c r="E25" s="13" t="n">
        <v>39</v>
      </c>
      <c r="F25" s="14" t="n">
        <v>111773</v>
      </c>
      <c r="G25" s="14" t="n">
        <v>646650</v>
      </c>
      <c r="H25" s="14" t="n">
        <v>834200</v>
      </c>
      <c r="I25" s="14" t="n">
        <v>187550</v>
      </c>
      <c r="J25" s="16" t="n">
        <v>5.785386452900075</v>
      </c>
      <c r="K25" s="16" t="n">
        <v>7.463340878387446</v>
      </c>
      <c r="L25" s="16" t="n">
        <v>1.677954425487372</v>
      </c>
      <c r="M25" s="16" t="n">
        <v>1.677954425487371</v>
      </c>
      <c r="N25" s="15" t="n">
        <v>0.3567494789921985</v>
      </c>
      <c r="O25" s="15" t="n">
        <v>0.2059574891745851</v>
      </c>
      <c r="P25" s="16" t="n">
        <v>-4.489493377696989</v>
      </c>
      <c r="Q25" s="16" t="n">
        <v>-5.464292783183008</v>
      </c>
      <c r="R25" s="14" t="n">
        <v>2865.974358974359</v>
      </c>
    </row>
    <row r="26">
      <c r="A26" s="17" t="n">
        <v>22</v>
      </c>
      <c r="B26" s="12" t="inlineStr">
        <is>
          <t>NORTH EAST ZONE RO → NORTH ZONE RO</t>
        </is>
      </c>
      <c r="C26" s="12" t="inlineStr">
        <is>
          <t>NORTH EAST ZONE RO</t>
        </is>
      </c>
      <c r="D26" s="12" t="inlineStr">
        <is>
          <t>NORTH ZONE RO</t>
        </is>
      </c>
      <c r="E26" s="13" t="n">
        <v>11</v>
      </c>
      <c r="F26" s="14" t="n">
        <v>82250</v>
      </c>
      <c r="G26" s="14" t="n">
        <v>432290</v>
      </c>
      <c r="H26" s="14" t="n">
        <v>496310</v>
      </c>
      <c r="I26" s="14" t="n">
        <v>64020</v>
      </c>
      <c r="J26" s="16" t="n">
        <v>5.25580547112462</v>
      </c>
      <c r="K26" s="16" t="n">
        <v>6.034164133738602</v>
      </c>
      <c r="L26" s="16" t="n">
        <v>0.7783586626139818</v>
      </c>
      <c r="M26" s="16" t="n">
        <v>0.7783586626139822</v>
      </c>
      <c r="N26" s="15" t="n">
        <v>0.2625199703605372</v>
      </c>
      <c r="O26" s="15" t="n">
        <v>0.1225350772623332</v>
      </c>
      <c r="P26" s="16" t="n">
        <v>-5.019074359472444</v>
      </c>
      <c r="Q26" s="16" t="n">
        <v>-6.893469527831852</v>
      </c>
      <c r="R26" s="14" t="n">
        <v>7477.272727272727</v>
      </c>
    </row>
    <row r="27">
      <c r="A27" s="17" t="n">
        <v>23</v>
      </c>
      <c r="B27" s="12" t="inlineStr">
        <is>
          <t>NORTH ZONE RO → WEST ZONE RO</t>
        </is>
      </c>
      <c r="C27" s="12" t="inlineStr">
        <is>
          <t>NORTH ZONE RO</t>
        </is>
      </c>
      <c r="D27" s="12" t="inlineStr">
        <is>
          <t>WEST ZONE RO</t>
        </is>
      </c>
      <c r="E27" s="13" t="n">
        <v>22</v>
      </c>
      <c r="F27" s="14" t="n">
        <v>56838</v>
      </c>
      <c r="G27" s="14" t="n">
        <v>367382.6</v>
      </c>
      <c r="H27" s="14" t="n">
        <v>414221.6</v>
      </c>
      <c r="I27" s="14" t="n">
        <v>46839</v>
      </c>
      <c r="J27" s="16" t="n">
        <v>6.463679228685034</v>
      </c>
      <c r="K27" s="16" t="n">
        <v>7.287758189943347</v>
      </c>
      <c r="L27" s="16" t="n">
        <v>0.8240789612583131</v>
      </c>
      <c r="M27" s="16" t="n">
        <v>0.824078961258313</v>
      </c>
      <c r="N27" s="15" t="n">
        <v>0.1814116726486591</v>
      </c>
      <c r="O27" s="15" t="n">
        <v>0.1022680900238304</v>
      </c>
      <c r="P27" s="16" t="n">
        <v>-3.811200601912029</v>
      </c>
      <c r="Q27" s="16" t="n">
        <v>-5.639875471627106</v>
      </c>
      <c r="R27" s="14" t="n">
        <v>2583.545454545455</v>
      </c>
    </row>
    <row r="28">
      <c r="A28" s="17" t="n">
        <v>24</v>
      </c>
      <c r="B28" s="12" t="inlineStr">
        <is>
          <t>SOUTH ZONE RO → WEST ZONE RO</t>
        </is>
      </c>
      <c r="C28" s="12" t="inlineStr">
        <is>
          <t>SOUTH ZONE RO</t>
        </is>
      </c>
      <c r="D28" s="12" t="inlineStr">
        <is>
          <t>WEST ZONE RO</t>
        </is>
      </c>
      <c r="E28" s="13" t="n">
        <v>14</v>
      </c>
      <c r="F28" s="14" t="n">
        <v>26721</v>
      </c>
      <c r="G28" s="14" t="n">
        <v>159810.89</v>
      </c>
      <c r="H28" s="14" t="n">
        <v>213270.69</v>
      </c>
      <c r="I28" s="14" t="n">
        <v>53459.8</v>
      </c>
      <c r="J28" s="16" t="n">
        <v>5.980722652595338</v>
      </c>
      <c r="K28" s="16" t="n">
        <v>7.981388795329516</v>
      </c>
      <c r="L28" s="16" t="n">
        <v>2.000666142734179</v>
      </c>
      <c r="M28" s="16" t="n">
        <v>2.000666142734178</v>
      </c>
      <c r="N28" s="15" t="n">
        <v>0.08528627511250959</v>
      </c>
      <c r="O28" s="15" t="n">
        <v>0.05265487392343717</v>
      </c>
      <c r="P28" s="16" t="n">
        <v>-4.294157178001726</v>
      </c>
      <c r="Q28" s="16" t="n">
        <v>-4.946244866240938</v>
      </c>
      <c r="R28" s="14" t="n">
        <v>1908.642857142857</v>
      </c>
    </row>
    <row r="29">
      <c r="A29" s="17" t="n">
        <v>25</v>
      </c>
      <c r="B29" s="12" t="inlineStr">
        <is>
          <t>NEPAL ZONE → NORTH ZONE RO</t>
        </is>
      </c>
      <c r="C29" s="12" t="inlineStr">
        <is>
          <t>NEPAL ZONE</t>
        </is>
      </c>
      <c r="D29" s="12" t="inlineStr">
        <is>
          <t>NORTH ZONE RO</t>
        </is>
      </c>
      <c r="E29" s="13" t="n">
        <v>6</v>
      </c>
      <c r="F29" s="14" t="n">
        <v>22512</v>
      </c>
      <c r="G29" s="14" t="n">
        <v>12601</v>
      </c>
      <c r="H29" s="14" t="n">
        <v>17347.6</v>
      </c>
      <c r="I29" s="14" t="n">
        <v>4746.6</v>
      </c>
      <c r="J29" s="16" t="n">
        <v>0.5597459132906895</v>
      </c>
      <c r="K29" s="16" t="n">
        <v>0.770593461265103</v>
      </c>
      <c r="L29" s="16" t="n">
        <v>0.2108475479744137</v>
      </c>
      <c r="M29" s="16" t="n">
        <v>0.2108475479744135</v>
      </c>
      <c r="N29" s="15" t="n">
        <v>0.07185227444080745</v>
      </c>
      <c r="O29" s="15" t="n">
        <v>0.004282987460087547</v>
      </c>
      <c r="P29" s="16" t="n">
        <v>-9.715133917306375</v>
      </c>
      <c r="Q29" s="16" t="n">
        <v>-12.15704020030535</v>
      </c>
      <c r="R29" s="14" t="n">
        <v>3752</v>
      </c>
    </row>
    <row r="30">
      <c r="A30" s="17" t="n">
        <v>26</v>
      </c>
      <c r="B30" s="12" t="inlineStr">
        <is>
          <t>SOUTH ZONE RO → SOUTH ZONE RO</t>
        </is>
      </c>
      <c r="C30" s="12" t="inlineStr">
        <is>
          <t>SOUTH ZONE RO</t>
        </is>
      </c>
      <c r="D30" s="12" t="inlineStr">
        <is>
          <t>SOUTH ZONE RO</t>
        </is>
      </c>
      <c r="E30" s="13" t="n">
        <v>22</v>
      </c>
      <c r="F30" s="14" t="n">
        <v>17518</v>
      </c>
      <c r="G30" s="14" t="n">
        <v>96178.39999999999</v>
      </c>
      <c r="H30" s="14" t="n">
        <v>129397.63</v>
      </c>
      <c r="I30" s="14" t="n">
        <v>33219.23</v>
      </c>
      <c r="J30" s="16" t="n">
        <v>5.490261445370476</v>
      </c>
      <c r="K30" s="16" t="n">
        <v>7.386552688663089</v>
      </c>
      <c r="L30" s="16" t="n">
        <v>1.896291243292613</v>
      </c>
      <c r="M30" s="16" t="n">
        <v>1.896291243292613</v>
      </c>
      <c r="N30" s="15" t="n">
        <v>0.05591276402159138</v>
      </c>
      <c r="O30" s="15" t="n">
        <v>0.03194726801719248</v>
      </c>
      <c r="P30" s="16" t="n">
        <v>-4.784618385226588</v>
      </c>
      <c r="Q30" s="16" t="n">
        <v>-5.541080972907364</v>
      </c>
      <c r="R30" s="14" t="n">
        <v>796.2727272727273</v>
      </c>
    </row>
    <row r="31">
      <c r="A31" s="17" t="n">
        <v>27</v>
      </c>
      <c r="B31" s="12" t="inlineStr">
        <is>
          <t>NEPAL ZONE → SOUTH ZONE RO</t>
        </is>
      </c>
      <c r="C31" s="12" t="inlineStr">
        <is>
          <t>NEPAL ZONE</t>
        </is>
      </c>
      <c r="D31" s="12" t="inlineStr">
        <is>
          <t>SOUTH ZONE RO</t>
        </is>
      </c>
      <c r="E31" s="13" t="n">
        <v>3</v>
      </c>
      <c r="F31" s="14" t="n">
        <v>7676</v>
      </c>
      <c r="G31" s="14" t="n">
        <v>95898.2</v>
      </c>
      <c r="H31" s="14" t="n">
        <v>161000</v>
      </c>
      <c r="I31" s="14" t="n">
        <v>65101.8</v>
      </c>
      <c r="J31" s="16" t="n">
        <v>12.49325169359041</v>
      </c>
      <c r="K31" s="16" t="n">
        <v>20.9744658676394</v>
      </c>
      <c r="L31" s="16" t="n">
        <v>8.481214174048985</v>
      </c>
      <c r="M31" s="16" t="n">
        <v>8.481214174048985</v>
      </c>
      <c r="N31" s="15" t="n">
        <v>0.02449973607887518</v>
      </c>
      <c r="O31" s="15" t="n">
        <v>0.03974964727536346</v>
      </c>
      <c r="P31" s="16" t="n">
        <v>2.218371862993347</v>
      </c>
      <c r="Q31" s="16" t="n">
        <v>8.046832206068942</v>
      </c>
      <c r="R31" s="14" t="n">
        <v>2558.666666666667</v>
      </c>
    </row>
    <row r="32">
      <c r="A32" s="17" t="n">
        <v>28</v>
      </c>
      <c r="B32" s="12" t="inlineStr">
        <is>
          <t>NEPAL ZONE → WEST ZONE RO</t>
        </is>
      </c>
      <c r="C32" s="12" t="inlineStr">
        <is>
          <t>NEPAL ZONE</t>
        </is>
      </c>
      <c r="D32" s="12" t="inlineStr">
        <is>
          <t>WEST ZONE RO</t>
        </is>
      </c>
      <c r="E32" s="13" t="n">
        <v>5</v>
      </c>
      <c r="F32" s="14" t="n">
        <v>6467</v>
      </c>
      <c r="G32" s="14" t="n">
        <v>99590.5</v>
      </c>
      <c r="H32" s="14" t="n">
        <v>122531</v>
      </c>
      <c r="I32" s="14" t="n">
        <v>22940.5</v>
      </c>
      <c r="J32" s="16" t="n">
        <v>15.39979897943405</v>
      </c>
      <c r="K32" s="16" t="n">
        <v>18.94711612803464</v>
      </c>
      <c r="L32" s="16" t="n">
        <v>3.547317148600587</v>
      </c>
      <c r="M32" s="16" t="n">
        <v>3.547317148600587</v>
      </c>
      <c r="N32" s="15" t="n">
        <v>0.02064093189448746</v>
      </c>
      <c r="O32" s="15" t="n">
        <v>0.03025195049874261</v>
      </c>
      <c r="P32" s="16" t="n">
        <v>5.124919148836986</v>
      </c>
      <c r="Q32" s="16" t="n">
        <v>6.019482466464183</v>
      </c>
      <c r="R32" s="14" t="n">
        <v>1293.4</v>
      </c>
    </row>
    <row r="33">
      <c r="A33" s="17" t="n">
        <v>29</v>
      </c>
      <c r="B33" s="12" t="inlineStr">
        <is>
          <t>NORTH EAST ZONE RO → EAST ZONE RO</t>
        </is>
      </c>
      <c r="C33" s="12" t="inlineStr">
        <is>
          <t>NORTH EAST ZONE RO</t>
        </is>
      </c>
      <c r="D33" s="12" t="inlineStr">
        <is>
          <t>EAST ZONE RO</t>
        </is>
      </c>
      <c r="E33" s="13" t="n">
        <v>5</v>
      </c>
      <c r="F33" s="14" t="n">
        <v>4599</v>
      </c>
      <c r="G33" s="14" t="n">
        <v>29451.75</v>
      </c>
      <c r="H33" s="14" t="n">
        <v>34266.75</v>
      </c>
      <c r="I33" s="14" t="n">
        <v>4815</v>
      </c>
      <c r="J33" s="16" t="n">
        <v>6.403946510110893</v>
      </c>
      <c r="K33" s="16" t="n">
        <v>7.450913242009133</v>
      </c>
      <c r="L33" s="16" t="n">
        <v>1.046966731898239</v>
      </c>
      <c r="M33" s="16" t="n">
        <v>1.046966731898239</v>
      </c>
      <c r="N33" s="15" t="n">
        <v>0.01467877621505302</v>
      </c>
      <c r="O33" s="15" t="n">
        <v>0.008460193948900999</v>
      </c>
      <c r="P33" s="16" t="n">
        <v>-3.87093332048617</v>
      </c>
      <c r="Q33" s="16" t="n">
        <v>-5.476720419561321</v>
      </c>
      <c r="R33" s="14" t="n">
        <v>919.8</v>
      </c>
    </row>
    <row r="34">
      <c r="A34" s="17" t="n">
        <v>30</v>
      </c>
      <c r="B34" s="12" t="inlineStr">
        <is>
          <t>NORTH EAST ZONE RO → SOUTH ZONE RO</t>
        </is>
      </c>
      <c r="C34" s="12" t="inlineStr">
        <is>
          <t>NORTH EAST ZONE RO</t>
        </is>
      </c>
      <c r="D34" s="12" t="inlineStr">
        <is>
          <t>SOUTH ZONE RO</t>
        </is>
      </c>
      <c r="E34" s="13" t="n">
        <v>2</v>
      </c>
      <c r="F34" s="14" t="n">
        <v>3400</v>
      </c>
      <c r="G34" s="14" t="n">
        <v>90000</v>
      </c>
      <c r="H34" s="14" t="n">
        <v>96917.67</v>
      </c>
      <c r="I34" s="14" t="n">
        <v>6917.669999999998</v>
      </c>
      <c r="J34" s="16" t="n">
        <v>26.47058823529412</v>
      </c>
      <c r="K34" s="16" t="n">
        <v>28.50519705882353</v>
      </c>
      <c r="L34" s="16" t="n">
        <v>2.034608823529411</v>
      </c>
      <c r="M34" s="16" t="n">
        <v>2.034608823529414</v>
      </c>
      <c r="N34" s="15" t="n">
        <v>0.01085188935228968</v>
      </c>
      <c r="O34" s="15" t="n">
        <v>0.02392821861646009</v>
      </c>
      <c r="P34" s="16" t="n">
        <v>16.19570840469705</v>
      </c>
      <c r="Q34" s="16" t="n">
        <v>15.57756339725308</v>
      </c>
      <c r="R34" s="14" t="n">
        <v>1700</v>
      </c>
    </row>
    <row r="35">
      <c r="A35" s="17" t="n">
        <v>31</v>
      </c>
      <c r="B35" s="12" t="inlineStr">
        <is>
          <t>NORTH EAST ZONE RO → WEST ZONE RO</t>
        </is>
      </c>
      <c r="C35" s="12" t="inlineStr">
        <is>
          <t>NORTH EAST ZONE RO</t>
        </is>
      </c>
      <c r="D35" s="12" t="inlineStr">
        <is>
          <t>WEST ZONE RO</t>
        </is>
      </c>
      <c r="E35" s="13" t="n">
        <v>2</v>
      </c>
      <c r="F35" s="14" t="n">
        <v>2235</v>
      </c>
      <c r="G35" s="14" t="n">
        <v>56050</v>
      </c>
      <c r="H35" s="14" t="n">
        <v>73098</v>
      </c>
      <c r="I35" s="14" t="n">
        <v>17048</v>
      </c>
      <c r="J35" s="16" t="n">
        <v>25.07829977628635</v>
      </c>
      <c r="K35" s="16" t="n">
        <v>32.70604026845638</v>
      </c>
      <c r="L35" s="16" t="n">
        <v>7.627740492170022</v>
      </c>
      <c r="M35" s="16" t="n">
        <v>7.627740492170023</v>
      </c>
      <c r="N35" s="15" t="n">
        <v>0.007133521383049248</v>
      </c>
      <c r="O35" s="15" t="n">
        <v>0.01804732743189142</v>
      </c>
      <c r="P35" s="16" t="n">
        <v>14.80341994568929</v>
      </c>
      <c r="Q35" s="16" t="n">
        <v>19.77840660688592</v>
      </c>
      <c r="R35" s="14" t="n">
        <v>1117.5</v>
      </c>
    </row>
    <row r="36">
      <c r="A36" s="17" t="n">
        <v>32</v>
      </c>
      <c r="B36" s="12" t="inlineStr">
        <is>
          <t>NEPAL ZONE → EAST ZONE RO</t>
        </is>
      </c>
      <c r="C36" s="12" t="inlineStr">
        <is>
          <t>NEPAL ZONE</t>
        </is>
      </c>
      <c r="D36" s="12" t="inlineStr">
        <is>
          <t>EAST ZONE RO</t>
        </is>
      </c>
      <c r="E36" s="13" t="n">
        <v>2</v>
      </c>
      <c r="F36" s="14" t="n">
        <v>1935</v>
      </c>
      <c r="G36" s="14" t="n">
        <v>31275</v>
      </c>
      <c r="H36" s="14" t="n">
        <v>36000</v>
      </c>
      <c r="I36" s="14" t="n">
        <v>4725</v>
      </c>
      <c r="J36" s="16" t="n">
        <v>16.16279069767442</v>
      </c>
      <c r="K36" s="16" t="n">
        <v>18.6046511627907</v>
      </c>
      <c r="L36" s="16" t="n">
        <v>2.441860465116279</v>
      </c>
      <c r="M36" s="16" t="n">
        <v>2.441860465116282</v>
      </c>
      <c r="N36" s="15" t="n">
        <v>0.006176001734317805</v>
      </c>
      <c r="O36" s="15" t="n">
        <v>0.00888811988765891</v>
      </c>
      <c r="P36" s="16" t="n">
        <v>5.887910867077354</v>
      </c>
      <c r="Q36" s="16" t="n">
        <v>5.677017501220245</v>
      </c>
      <c r="R36" s="14" t="n">
        <v>967.5</v>
      </c>
    </row>
  </sheetData>
  <mergeCells count="2">
    <mergeCell ref="A2:R2"/>
    <mergeCell ref="A1:R1"/>
  </mergeCells>
  <conditionalFormatting sqref="J5:J36">
    <cfRule type="colorScale" priority="1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K5:K36">
    <cfRule type="colorScale" priority="2">
      <colorScale>
        <cfvo type="min"/>
        <cfvo type="percentile" val="50"/>
        <cfvo type="max"/>
        <color rgb="00F4C7C3"/>
        <color rgb="00FFF2CC"/>
        <color rgb="00B7E1C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5" customWidth="1" min="4" max="4"/>
    <col width="15" customWidth="1" min="5" max="5"/>
    <col width="13" customWidth="1" min="6" max="6"/>
    <col width="25" customWidth="1" min="7" max="7"/>
    <col width="26" customWidth="1" min="8" max="8"/>
    <col width="20" customWidth="1" min="9" max="9"/>
    <col width="20" customWidth="1" min="10" max="10"/>
    <col width="20" customWidth="1" min="11" max="11"/>
    <col width="28" customWidth="1" min="12" max="12"/>
    <col width="23" customWidth="1" min="13" max="13"/>
    <col width="20" customWidth="1" min="14" max="14"/>
    <col width="23" customWidth="1" min="15" max="15"/>
    <col width="23" customWidth="1" min="16" max="16"/>
    <col width="20" customWidth="1" min="17" max="17"/>
    <col width="20" customWidth="1" min="18" max="18"/>
    <col width="21" customWidth="1" min="19" max="19"/>
  </cols>
  <sheetData>
    <row r="1" ht="22" customHeight="1">
      <c r="A1" s="6" t="inlineStr">
        <is>
          <t>Network yield by month</t>
        </is>
      </c>
    </row>
    <row r="2" ht="18" customHeight="1">
      <c r="A2" s="7" t="inlineStr">
        <is>
          <t>All origin–destination pairs combined</t>
        </is>
      </c>
    </row>
    <row r="3"/>
    <row r="4" ht="32" customHeight="1">
      <c r="A4" s="11" t="inlineStr">
        <is>
          <t>Month</t>
        </is>
      </c>
      <c r="B4" s="11" t="inlineStr">
        <is>
          <t>Shipments</t>
        </is>
      </c>
      <c r="C4" s="11" t="inlineStr">
        <is>
          <t>Charged weight</t>
        </is>
      </c>
      <c r="D4" s="11" t="inlineStr">
        <is>
          <t>Basic freight</t>
        </is>
      </c>
      <c r="E4" s="11" t="inlineStr">
        <is>
          <t>Total freight</t>
        </is>
      </c>
      <c r="F4" s="11" t="inlineStr">
        <is>
          <t>VAS freight</t>
        </is>
      </c>
      <c r="G4" s="11" t="inlineStr">
        <is>
          <t>Avg shipment base yield</t>
        </is>
      </c>
      <c r="H4" s="11" t="inlineStr">
        <is>
          <t>Avg shipment total yield</t>
        </is>
      </c>
      <c r="I4" s="11" t="inlineStr">
        <is>
          <t>Base yield</t>
        </is>
      </c>
      <c r="J4" s="11" t="inlineStr">
        <is>
          <t>Total yield</t>
        </is>
      </c>
      <c r="K4" s="11" t="inlineStr">
        <is>
          <t>VAS yield</t>
        </is>
      </c>
      <c r="L4" s="11" t="inlineStr">
        <is>
          <t>Yield uplift (total − base)</t>
        </is>
      </c>
      <c r="M4" s="11" t="inlineStr">
        <is>
          <t>Avg weight / shipment</t>
        </is>
      </c>
      <c r="N4" s="11" t="inlineStr">
        <is>
          <t>Weight share %</t>
        </is>
      </c>
      <c r="O4" s="11" t="inlineStr">
        <is>
          <t>Basic freight share %</t>
        </is>
      </c>
      <c r="P4" s="11" t="inlineStr">
        <is>
          <t>Total freight share %</t>
        </is>
      </c>
      <c r="Q4" s="11" t="inlineStr">
        <is>
          <t>Base yield MoM %</t>
        </is>
      </c>
      <c r="R4" s="11" t="inlineStr">
        <is>
          <t>Total yield MoM %</t>
        </is>
      </c>
      <c r="S4" s="11" t="inlineStr">
        <is>
          <t>Weight MoM %</t>
        </is>
      </c>
    </row>
    <row r="5">
      <c r="A5" s="12" t="inlineStr">
        <is>
          <t>April</t>
        </is>
      </c>
      <c r="B5" s="13" t="n">
        <v>10058</v>
      </c>
      <c r="C5" s="14" t="n">
        <v>7858321.85</v>
      </c>
      <c r="D5" s="14" t="n">
        <v>80170559.67</v>
      </c>
      <c r="E5" s="14" t="n">
        <v>98584173.27</v>
      </c>
      <c r="F5" s="14" t="n">
        <v>18413613.6</v>
      </c>
      <c r="G5" s="16" t="n">
        <v>11.37312385849643</v>
      </c>
      <c r="H5" s="16" t="n">
        <v>17.13179786075918</v>
      </c>
      <c r="I5" s="16" t="n">
        <v>10.20199492974445</v>
      </c>
      <c r="J5" s="16" t="n">
        <v>12.5451941459995</v>
      </c>
      <c r="K5" s="16" t="n">
        <v>2.343199216255059</v>
      </c>
      <c r="L5" s="16" t="n">
        <v>2.343199216255057</v>
      </c>
      <c r="M5" s="14" t="n">
        <v>781.3006412805727</v>
      </c>
      <c r="N5" s="15" t="n">
        <v>25.0816585914354</v>
      </c>
      <c r="O5" s="15" t="n">
        <v>24.90374174668436</v>
      </c>
      <c r="P5" s="15" t="n">
        <v>24.33966530693053</v>
      </c>
      <c r="Q5" s="12" t="n"/>
      <c r="R5" s="12" t="n"/>
      <c r="S5" s="12" t="n"/>
    </row>
    <row r="6">
      <c r="A6" s="12" t="inlineStr">
        <is>
          <t>May</t>
        </is>
      </c>
      <c r="B6" s="13" t="n">
        <v>9779</v>
      </c>
      <c r="C6" s="14" t="n">
        <v>7569422.186</v>
      </c>
      <c r="D6" s="14" t="n">
        <v>78286216.39</v>
      </c>
      <c r="E6" s="14" t="n">
        <v>97431161.33</v>
      </c>
      <c r="F6" s="14" t="n">
        <v>19144944.94</v>
      </c>
      <c r="G6" s="16" t="n">
        <v>11.51959765151541</v>
      </c>
      <c r="H6" s="16" t="n">
        <v>17.82866925964475</v>
      </c>
      <c r="I6" s="16" t="n">
        <v>10.34242964209263</v>
      </c>
      <c r="J6" s="16" t="n">
        <v>12.87167751195111</v>
      </c>
      <c r="K6" s="16" t="n">
        <v>2.529247869858478</v>
      </c>
      <c r="L6" s="16" t="n">
        <v>2.529247869858478</v>
      </c>
      <c r="M6" s="14" t="n">
        <v>774.0486947540649</v>
      </c>
      <c r="N6" s="15" t="n">
        <v>24.15956824212903</v>
      </c>
      <c r="O6" s="15" t="n">
        <v>24.31839971339455</v>
      </c>
      <c r="P6" s="15" t="n">
        <v>24.05499563041325</v>
      </c>
      <c r="Q6" s="15" t="n">
        <v>1.376541679497789</v>
      </c>
      <c r="R6" s="15" t="n">
        <v>2.602457659499158</v>
      </c>
      <c r="S6" s="15" t="n">
        <v>-3.676353164384583</v>
      </c>
    </row>
    <row r="7">
      <c r="A7" s="12" t="inlineStr">
        <is>
          <t>June</t>
        </is>
      </c>
      <c r="B7" s="13" t="n">
        <v>10666</v>
      </c>
      <c r="C7" s="14" t="n">
        <v>8015714.471</v>
      </c>
      <c r="D7" s="14" t="n">
        <v>84688361.12</v>
      </c>
      <c r="E7" s="14" t="n">
        <v>108896430.31</v>
      </c>
      <c r="F7" s="14" t="n">
        <v>24208069.19</v>
      </c>
      <c r="G7" s="16" t="n">
        <v>11.57745588025996</v>
      </c>
      <c r="H7" s="16" t="n">
        <v>18.10648908126388</v>
      </c>
      <c r="I7" s="16" t="n">
        <v>10.56529164385701</v>
      </c>
      <c r="J7" s="16" t="n">
        <v>13.58536792995505</v>
      </c>
      <c r="K7" s="16" t="n">
        <v>3.020076286098041</v>
      </c>
      <c r="L7" s="16" t="n">
        <v>3.020076286098041</v>
      </c>
      <c r="M7" s="14" t="n">
        <v>751.5202016688543</v>
      </c>
      <c r="N7" s="15" t="n">
        <v>25.58401368201154</v>
      </c>
      <c r="O7" s="15" t="n">
        <v>26.30712674283149</v>
      </c>
      <c r="P7" s="15" t="n">
        <v>26.8856813314826</v>
      </c>
      <c r="Q7" s="15" t="n">
        <v>2.154832176545374</v>
      </c>
      <c r="R7" s="15" t="n">
        <v>5.544657387052254</v>
      </c>
      <c r="S7" s="15" t="n">
        <v>5.895988809098784</v>
      </c>
    </row>
    <row r="8">
      <c r="A8" s="12" t="inlineStr">
        <is>
          <t>July</t>
        </is>
      </c>
      <c r="B8" s="13" t="n">
        <v>10357</v>
      </c>
      <c r="C8" s="14" t="n">
        <v>7887491.244</v>
      </c>
      <c r="D8" s="14" t="n">
        <v>78776606.48999999</v>
      </c>
      <c r="E8" s="14" t="n">
        <v>100123275.74</v>
      </c>
      <c r="F8" s="14" t="n">
        <v>21346669.25</v>
      </c>
      <c r="G8" s="16" t="n">
        <v>11.44907742018059</v>
      </c>
      <c r="H8" s="16" t="n">
        <v>17.69478819058529</v>
      </c>
      <c r="I8" s="16" t="n">
        <v>9.987536474278208</v>
      </c>
      <c r="J8" s="16" t="n">
        <v>12.69393177661701</v>
      </c>
      <c r="K8" s="16" t="n">
        <v>2.706395302338798</v>
      </c>
      <c r="L8" s="16" t="n">
        <v>2.706395302338798</v>
      </c>
      <c r="M8" s="14" t="n">
        <v>761.5613830259728</v>
      </c>
      <c r="N8" s="15" t="n">
        <v>25.17475948442403</v>
      </c>
      <c r="O8" s="15" t="n">
        <v>24.47073179708961</v>
      </c>
      <c r="P8" s="15" t="n">
        <v>24.71965773117364</v>
      </c>
      <c r="Q8" s="15" t="n">
        <v>-5.4684261358249</v>
      </c>
      <c r="R8" s="15" t="n">
        <v>-6.561737289223291</v>
      </c>
      <c r="S8" s="15" t="n">
        <v>-1.599648134472575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20" customWidth="1" min="5" max="5"/>
    <col width="15" customWidth="1" min="6" max="6"/>
    <col width="20" customWidth="1" min="7" max="7"/>
    <col width="25" customWidth="1" min="8" max="8"/>
    <col width="26" customWidth="1" min="9" max="9"/>
    <col width="20" customWidth="1" min="10" max="10"/>
    <col width="20" customWidth="1" min="11" max="11"/>
    <col width="20" customWidth="1" min="12" max="12"/>
    <col width="28" customWidth="1" min="13" max="13"/>
    <col width="23" customWidth="1" min="14" max="14"/>
    <col width="21" customWidth="1" min="15" max="15"/>
    <col width="23" customWidth="1" min="16" max="16"/>
    <col width="23" customWidth="1" min="17" max="17"/>
  </cols>
  <sheetData>
    <row r="1" ht="22" customHeight="1">
      <c r="A1" s="6" t="inlineStr">
        <is>
          <t>Yield by origin zone and month</t>
        </is>
      </c>
    </row>
    <row r="2" ht="18" customHeight="1">
      <c r="A2" s="7" t="inlineStr">
        <is>
          <t>Volume-weighted yields</t>
        </is>
      </c>
    </row>
    <row r="3"/>
    <row r="4" ht="32" customHeight="1">
      <c r="A4" s="11" t="inlineStr">
        <is>
          <t>Origin zone</t>
        </is>
      </c>
      <c r="B4" s="11" t="inlineStr">
        <is>
          <t>Month</t>
        </is>
      </c>
      <c r="C4" s="11" t="inlineStr">
        <is>
          <t>Shipments</t>
        </is>
      </c>
      <c r="D4" s="11" t="inlineStr">
        <is>
          <t>Charged weight</t>
        </is>
      </c>
      <c r="E4" s="11" t="inlineStr">
        <is>
          <t>Basic freight</t>
        </is>
      </c>
      <c r="F4" s="11" t="inlineStr">
        <is>
          <t>Total freight</t>
        </is>
      </c>
      <c r="G4" s="11" t="inlineStr">
        <is>
          <t>VAS freight</t>
        </is>
      </c>
      <c r="H4" s="11" t="inlineStr">
        <is>
          <t>Avg shipment base yield</t>
        </is>
      </c>
      <c r="I4" s="11" t="inlineStr">
        <is>
          <t>Avg shipment total yield</t>
        </is>
      </c>
      <c r="J4" s="11" t="inlineStr">
        <is>
          <t>Base yield</t>
        </is>
      </c>
      <c r="K4" s="11" t="inlineStr">
        <is>
          <t>Total yield</t>
        </is>
      </c>
      <c r="L4" s="11" t="inlineStr">
        <is>
          <t>VAS yield</t>
        </is>
      </c>
      <c r="M4" s="11" t="inlineStr">
        <is>
          <t>Yield uplift (total − base)</t>
        </is>
      </c>
      <c r="N4" s="11" t="inlineStr">
        <is>
          <t>Avg weight / shipment</t>
        </is>
      </c>
      <c r="O4" s="11" t="inlineStr">
        <is>
          <t>Weight share %</t>
        </is>
      </c>
      <c r="P4" s="11" t="inlineStr">
        <is>
          <t>Basic freight share %</t>
        </is>
      </c>
      <c r="Q4" s="11" t="inlineStr">
        <is>
          <t>Total freight share %</t>
        </is>
      </c>
    </row>
    <row r="5">
      <c r="A5" s="12" t="inlineStr">
        <is>
          <t>NORTH ZONE RO</t>
        </is>
      </c>
      <c r="B5" s="12" t="inlineStr">
        <is>
          <t>April</t>
        </is>
      </c>
      <c r="C5" s="13" t="n">
        <v>5452</v>
      </c>
      <c r="D5" s="14" t="n">
        <v>4254327.06</v>
      </c>
      <c r="E5" s="14" t="n">
        <v>40345718.3</v>
      </c>
      <c r="F5" s="14" t="n">
        <v>48829333.99</v>
      </c>
      <c r="G5" s="14" t="n">
        <v>8483615.689999999</v>
      </c>
      <c r="H5" s="16" t="n">
        <v>10.97104829889354</v>
      </c>
      <c r="I5" s="16" t="n">
        <v>15.82094194914512</v>
      </c>
      <c r="J5" s="16" t="n">
        <v>9.48345478168291</v>
      </c>
      <c r="K5" s="16" t="n">
        <v>11.47756937850472</v>
      </c>
      <c r="L5" s="16" t="n">
        <v>1.994114596821806</v>
      </c>
      <c r="M5" s="16" t="n">
        <v>1.994114596821808</v>
      </c>
      <c r="N5" s="14" t="n">
        <v>780.3241122523843</v>
      </c>
      <c r="O5" s="15" t="n">
        <v>13.5786725069329</v>
      </c>
      <c r="P5" s="15" t="n">
        <v>12.53277204579202</v>
      </c>
      <c r="Q5" s="15" t="n">
        <v>12.05558262604606</v>
      </c>
    </row>
    <row r="6">
      <c r="A6" s="12" t="inlineStr">
        <is>
          <t>NORTH ZONE RO</t>
        </is>
      </c>
      <c r="B6" s="12" t="inlineStr">
        <is>
          <t>May</t>
        </is>
      </c>
      <c r="C6" s="13" t="n">
        <v>5511</v>
      </c>
      <c r="D6" s="14" t="n">
        <v>4212314.78</v>
      </c>
      <c r="E6" s="14" t="n">
        <v>40362100.42</v>
      </c>
      <c r="F6" s="14" t="n">
        <v>49399359.62</v>
      </c>
      <c r="G6" s="14" t="n">
        <v>9037259.199999999</v>
      </c>
      <c r="H6" s="16" t="n">
        <v>10.97131699000232</v>
      </c>
      <c r="I6" s="16" t="n">
        <v>16.22827466767759</v>
      </c>
      <c r="J6" s="16" t="n">
        <v>9.581928827265848</v>
      </c>
      <c r="K6" s="16" t="n">
        <v>11.72736659058514</v>
      </c>
      <c r="L6" s="16" t="n">
        <v>2.145437763319293</v>
      </c>
      <c r="M6" s="16" t="n">
        <v>2.145437763319292</v>
      </c>
      <c r="N6" s="14" t="n">
        <v>764.3467211032481</v>
      </c>
      <c r="O6" s="15" t="n">
        <v>13.44458056163955</v>
      </c>
      <c r="P6" s="15" t="n">
        <v>12.53786089745306</v>
      </c>
      <c r="Q6" s="15" t="n">
        <v>12.19631751878157</v>
      </c>
    </row>
    <row r="7">
      <c r="A7" s="12" t="inlineStr">
        <is>
          <t>NORTH ZONE RO</t>
        </is>
      </c>
      <c r="B7" s="12" t="inlineStr">
        <is>
          <t>June</t>
        </is>
      </c>
      <c r="C7" s="13" t="n">
        <v>5615</v>
      </c>
      <c r="D7" s="14" t="n">
        <v>4360376.228</v>
      </c>
      <c r="E7" s="14" t="n">
        <v>41586462.7</v>
      </c>
      <c r="F7" s="14" t="n">
        <v>52518337.3</v>
      </c>
      <c r="G7" s="14" t="n">
        <v>10931874.6</v>
      </c>
      <c r="H7" s="16" t="n">
        <v>10.94695381298893</v>
      </c>
      <c r="I7" s="16" t="n">
        <v>16.4331069023658</v>
      </c>
      <c r="J7" s="16" t="n">
        <v>9.537356531978599</v>
      </c>
      <c r="K7" s="16" t="n">
        <v>12.04445088081055</v>
      </c>
      <c r="L7" s="16" t="n">
        <v>2.507094348831956</v>
      </c>
      <c r="M7" s="16" t="n">
        <v>2.507094348831954</v>
      </c>
      <c r="N7" s="14" t="n">
        <v>776.5585446126447</v>
      </c>
      <c r="O7" s="15" t="n">
        <v>13.91715304723831</v>
      </c>
      <c r="P7" s="15" t="n">
        <v>12.91819006256068</v>
      </c>
      <c r="Q7" s="15" t="n">
        <v>12.96636883952524</v>
      </c>
    </row>
    <row r="8">
      <c r="A8" s="12" t="inlineStr">
        <is>
          <t>NORTH ZONE RO</t>
        </is>
      </c>
      <c r="B8" s="12" t="inlineStr">
        <is>
          <t>July</t>
        </is>
      </c>
      <c r="C8" s="13" t="n">
        <v>5576</v>
      </c>
      <c r="D8" s="14" t="n">
        <v>4385689.85</v>
      </c>
      <c r="E8" s="14" t="n">
        <v>40919530.28</v>
      </c>
      <c r="F8" s="14" t="n">
        <v>51224955.58</v>
      </c>
      <c r="G8" s="14" t="n">
        <v>10305425.3</v>
      </c>
      <c r="H8" s="16" t="n">
        <v>11.03199781400109</v>
      </c>
      <c r="I8" s="16" t="n">
        <v>16.40841226979719</v>
      </c>
      <c r="J8" s="16" t="n">
        <v>9.330238042254631</v>
      </c>
      <c r="K8" s="16" t="n">
        <v>11.68002237549926</v>
      </c>
      <c r="L8" s="16" t="n">
        <v>2.349784333244632</v>
      </c>
      <c r="M8" s="16" t="n">
        <v>2.349784333244632</v>
      </c>
      <c r="N8" s="14" t="n">
        <v>786.5297435437589</v>
      </c>
      <c r="O8" s="15" t="n">
        <v>13.99794734872351</v>
      </c>
      <c r="P8" s="15" t="n">
        <v>12.71101784349999</v>
      </c>
      <c r="Q8" s="15" t="n">
        <v>12.64704295652895</v>
      </c>
    </row>
    <row r="9">
      <c r="A9" s="12" t="inlineStr">
        <is>
          <t>EAST ZONE RO</t>
        </is>
      </c>
      <c r="B9" s="12" t="inlineStr">
        <is>
          <t>April</t>
        </is>
      </c>
      <c r="C9" s="13" t="n">
        <v>979</v>
      </c>
      <c r="D9" s="14" t="n">
        <v>477300.53</v>
      </c>
      <c r="E9" s="14" t="n">
        <v>3491552.06</v>
      </c>
      <c r="F9" s="14" t="n">
        <v>4532729.29</v>
      </c>
      <c r="G9" s="14" t="n">
        <v>1041177.23</v>
      </c>
      <c r="H9" s="16" t="n">
        <v>7.59486109871957</v>
      </c>
      <c r="I9" s="16" t="n">
        <v>11.46925955382578</v>
      </c>
      <c r="J9" s="16" t="n">
        <v>7.315206752441695</v>
      </c>
      <c r="K9" s="16" t="n">
        <v>9.49659387556096</v>
      </c>
      <c r="L9" s="16" t="n">
        <v>2.181387123119264</v>
      </c>
      <c r="M9" s="16" t="n">
        <v>2.181387123119264</v>
      </c>
      <c r="N9" s="14" t="n">
        <v>487.5388457609806</v>
      </c>
      <c r="O9" s="15" t="n">
        <v>1.523415452749771</v>
      </c>
      <c r="P9" s="15" t="n">
        <v>1.084596529639566</v>
      </c>
      <c r="Q9" s="15" t="n">
        <v>1.119095592995085</v>
      </c>
    </row>
    <row r="10">
      <c r="A10" s="12" t="inlineStr">
        <is>
          <t>EAST ZONE RO</t>
        </is>
      </c>
      <c r="B10" s="12" t="inlineStr">
        <is>
          <t>May</t>
        </is>
      </c>
      <c r="C10" s="13" t="n">
        <v>839</v>
      </c>
      <c r="D10" s="14" t="n">
        <v>453209.916</v>
      </c>
      <c r="E10" s="14" t="n">
        <v>3688744.5</v>
      </c>
      <c r="F10" s="14" t="n">
        <v>4949952.55</v>
      </c>
      <c r="G10" s="14" t="n">
        <v>1261208.05</v>
      </c>
      <c r="H10" s="16" t="n">
        <v>8.134413684063128</v>
      </c>
      <c r="I10" s="16" t="n">
        <v>12.93140436329768</v>
      </c>
      <c r="J10" s="16" t="n">
        <v>8.139152233376993</v>
      </c>
      <c r="K10" s="16" t="n">
        <v>10.92198642449827</v>
      </c>
      <c r="L10" s="16" t="n">
        <v>2.782834191121273</v>
      </c>
      <c r="M10" s="16" t="n">
        <v>2.782834191121273</v>
      </c>
      <c r="N10" s="14" t="n">
        <v>540.178684147795</v>
      </c>
      <c r="O10" s="15" t="n">
        <v>1.446524665233089</v>
      </c>
      <c r="P10" s="15" t="n">
        <v>1.145851304713766</v>
      </c>
      <c r="Q10" s="15" t="n">
        <v>1.222104769517304</v>
      </c>
    </row>
    <row r="11">
      <c r="A11" s="12" t="inlineStr">
        <is>
          <t>EAST ZONE RO</t>
        </is>
      </c>
      <c r="B11" s="12" t="inlineStr">
        <is>
          <t>June</t>
        </is>
      </c>
      <c r="C11" s="13" t="n">
        <v>1100</v>
      </c>
      <c r="D11" s="14" t="n">
        <v>473962.863</v>
      </c>
      <c r="E11" s="14" t="n">
        <v>3804358.02</v>
      </c>
      <c r="F11" s="14" t="n">
        <v>5077560.12</v>
      </c>
      <c r="G11" s="14" t="n">
        <v>1273202.1</v>
      </c>
      <c r="H11" s="16" t="n">
        <v>8.343292411140927</v>
      </c>
      <c r="I11" s="16" t="n">
        <v>12.83593682563974</v>
      </c>
      <c r="J11" s="16" t="n">
        <v>8.02670064890717</v>
      </c>
      <c r="K11" s="16" t="n">
        <v>10.7129914944412</v>
      </c>
      <c r="L11" s="16" t="n">
        <v>2.686290845534031</v>
      </c>
      <c r="M11" s="16" t="n">
        <v>2.68629084553403</v>
      </c>
      <c r="N11" s="14" t="n">
        <v>430.87533</v>
      </c>
      <c r="O11" s="15" t="n">
        <v>1.512762513638363</v>
      </c>
      <c r="P11" s="15" t="n">
        <v>1.181764852733845</v>
      </c>
      <c r="Q11" s="15" t="n">
        <v>1.253610085648771</v>
      </c>
    </row>
    <row r="12">
      <c r="A12" s="12" t="inlineStr">
        <is>
          <t>EAST ZONE RO</t>
        </is>
      </c>
      <c r="B12" s="12" t="inlineStr">
        <is>
          <t>July</t>
        </is>
      </c>
      <c r="C12" s="13" t="n">
        <v>1153</v>
      </c>
      <c r="D12" s="14" t="n">
        <v>556184.577</v>
      </c>
      <c r="E12" s="14" t="n">
        <v>4260487.56</v>
      </c>
      <c r="F12" s="14" t="n">
        <v>5747553.21</v>
      </c>
      <c r="G12" s="14" t="n">
        <v>1487065.65</v>
      </c>
      <c r="H12" s="16" t="n">
        <v>8.286701702252245</v>
      </c>
      <c r="I12" s="16" t="n">
        <v>13.64426206264768</v>
      </c>
      <c r="J12" s="16" t="n">
        <v>7.660204428861751</v>
      </c>
      <c r="K12" s="16" t="n">
        <v>10.33389534280452</v>
      </c>
      <c r="L12" s="16" t="n">
        <v>2.673690913942764</v>
      </c>
      <c r="M12" s="16" t="n">
        <v>2.673690913942765</v>
      </c>
      <c r="N12" s="14" t="n">
        <v>482.380379011275</v>
      </c>
      <c r="O12" s="15" t="n">
        <v>1.775192202662954</v>
      </c>
      <c r="P12" s="15" t="n">
        <v>1.323454424491251</v>
      </c>
      <c r="Q12" s="15" t="n">
        <v>1.419026166421634</v>
      </c>
    </row>
    <row r="13">
      <c r="A13" s="12" t="inlineStr">
        <is>
          <t>WEST ZONE RO</t>
        </is>
      </c>
      <c r="B13" s="12" t="inlineStr">
        <is>
          <t>April</t>
        </is>
      </c>
      <c r="C13" s="13" t="n">
        <v>2377</v>
      </c>
      <c r="D13" s="14" t="n">
        <v>1953750.46</v>
      </c>
      <c r="E13" s="14" t="n">
        <v>24875933.13</v>
      </c>
      <c r="F13" s="14" t="n">
        <v>31105635.19</v>
      </c>
      <c r="G13" s="14" t="n">
        <v>6229702.06</v>
      </c>
      <c r="H13" s="16" t="n">
        <v>14.27374924469486</v>
      </c>
      <c r="I13" s="16" t="n">
        <v>22.85259040324734</v>
      </c>
      <c r="J13" s="16" t="n">
        <v>12.73240039569843</v>
      </c>
      <c r="K13" s="16" t="n">
        <v>15.92098675180862</v>
      </c>
      <c r="L13" s="16" t="n">
        <v>3.188586356110186</v>
      </c>
      <c r="M13" s="16" t="n">
        <v>3.188586356110187</v>
      </c>
      <c r="N13" s="14" t="n">
        <v>821.9396129575094</v>
      </c>
      <c r="O13" s="15" t="n">
        <v>6.235848180560315</v>
      </c>
      <c r="P13" s="15" t="n">
        <v>7.727323058830152</v>
      </c>
      <c r="Q13" s="15" t="n">
        <v>7.679739298625051</v>
      </c>
    </row>
    <row r="14">
      <c r="A14" s="12" t="inlineStr">
        <is>
          <t>WEST ZONE RO</t>
        </is>
      </c>
      <c r="B14" s="12" t="inlineStr">
        <is>
          <t>May</t>
        </is>
      </c>
      <c r="C14" s="13" t="n">
        <v>2262</v>
      </c>
      <c r="D14" s="14" t="n">
        <v>1939255.05</v>
      </c>
      <c r="E14" s="14" t="n">
        <v>24323667.74</v>
      </c>
      <c r="F14" s="14" t="n">
        <v>30356471.76</v>
      </c>
      <c r="G14" s="14" t="n">
        <v>6032804.02</v>
      </c>
      <c r="H14" s="16" t="n">
        <v>14.46344042599404</v>
      </c>
      <c r="I14" s="16" t="n">
        <v>23.70428946152951</v>
      </c>
      <c r="J14" s="16" t="n">
        <v>12.5427894283426</v>
      </c>
      <c r="K14" s="16" t="n">
        <v>15.65367678686721</v>
      </c>
      <c r="L14" s="16" t="n">
        <v>3.110887358524605</v>
      </c>
      <c r="M14" s="16" t="n">
        <v>3.110887358524606</v>
      </c>
      <c r="N14" s="14" t="n">
        <v>857.3187665782493</v>
      </c>
      <c r="O14" s="15" t="n">
        <v>6.189582714255588</v>
      </c>
      <c r="P14" s="15" t="n">
        <v>7.555770375341296</v>
      </c>
      <c r="Q14" s="15" t="n">
        <v>7.494776676922558</v>
      </c>
    </row>
    <row r="15">
      <c r="A15" s="12" t="inlineStr">
        <is>
          <t>WEST ZONE RO</t>
        </is>
      </c>
      <c r="B15" s="12" t="inlineStr">
        <is>
          <t>June</t>
        </is>
      </c>
      <c r="C15" s="13" t="n">
        <v>2704</v>
      </c>
      <c r="D15" s="14" t="n">
        <v>2193722.39</v>
      </c>
      <c r="E15" s="14" t="n">
        <v>28894815.57</v>
      </c>
      <c r="F15" s="14" t="n">
        <v>37542458.82</v>
      </c>
      <c r="G15" s="14" t="n">
        <v>8647643.25</v>
      </c>
      <c r="H15" s="16" t="n">
        <v>14.52721106374516</v>
      </c>
      <c r="I15" s="16" t="n">
        <v>24.03996354631544</v>
      </c>
      <c r="J15" s="16" t="n">
        <v>13.1715916752803</v>
      </c>
      <c r="K15" s="16" t="n">
        <v>17.11358692929236</v>
      </c>
      <c r="L15" s="16" t="n">
        <v>3.941995254012063</v>
      </c>
      <c r="M15" s="16" t="n">
        <v>3.941995254012063</v>
      </c>
      <c r="N15" s="14" t="n">
        <v>811.2878661242604</v>
      </c>
      <c r="O15" s="15" t="n">
        <v>7.00177430762367</v>
      </c>
      <c r="P15" s="15" t="n">
        <v>8.975726597585748</v>
      </c>
      <c r="Q15" s="15" t="n">
        <v>9.268940968601601</v>
      </c>
    </row>
    <row r="16">
      <c r="A16" s="12" t="inlineStr">
        <is>
          <t>WEST ZONE RO</t>
        </is>
      </c>
      <c r="B16" s="12" t="inlineStr">
        <is>
          <t>July</t>
        </is>
      </c>
      <c r="C16" s="13" t="n">
        <v>2418</v>
      </c>
      <c r="D16" s="14" t="n">
        <v>1988002.27</v>
      </c>
      <c r="E16" s="14" t="n">
        <v>24826104.73</v>
      </c>
      <c r="F16" s="14" t="n">
        <v>32012426.25</v>
      </c>
      <c r="G16" s="14" t="n">
        <v>7186321.52</v>
      </c>
      <c r="H16" s="16" t="n">
        <v>14.41364526908519</v>
      </c>
      <c r="I16" s="16" t="n">
        <v>23.27693321983633</v>
      </c>
      <c r="J16" s="16" t="n">
        <v>12.48796598708109</v>
      </c>
      <c r="K16" s="16" t="n">
        <v>16.10281171862042</v>
      </c>
      <c r="L16" s="16" t="n">
        <v>3.61484573153933</v>
      </c>
      <c r="M16" s="16" t="n">
        <v>3.614845731539331</v>
      </c>
      <c r="N16" s="14" t="n">
        <v>822.1680190239867</v>
      </c>
      <c r="O16" s="15" t="n">
        <v>6.345170784159036</v>
      </c>
      <c r="P16" s="15" t="n">
        <v>7.711844638692406</v>
      </c>
      <c r="Q16" s="15" t="n">
        <v>7.903618955689977</v>
      </c>
    </row>
    <row r="17">
      <c r="A17" s="12" t="inlineStr">
        <is>
          <t>SOUTH ZONE RO</t>
        </is>
      </c>
      <c r="B17" s="12" t="inlineStr">
        <is>
          <t>April</t>
        </is>
      </c>
      <c r="C17" s="13" t="n">
        <v>739</v>
      </c>
      <c r="D17" s="14" t="n">
        <v>635793.46</v>
      </c>
      <c r="E17" s="14" t="n">
        <v>8458735.619999999</v>
      </c>
      <c r="F17" s="14" t="n">
        <v>10641101.11</v>
      </c>
      <c r="G17" s="14" t="n">
        <v>2182365.49</v>
      </c>
      <c r="H17" s="16" t="n">
        <v>13.58420407165759</v>
      </c>
      <c r="I17" s="16" t="n">
        <v>21.63568034457044</v>
      </c>
      <c r="J17" s="16" t="n">
        <v>13.30421929788331</v>
      </c>
      <c r="K17" s="16" t="n">
        <v>16.73672627900262</v>
      </c>
      <c r="L17" s="16" t="n">
        <v>3.432506981119309</v>
      </c>
      <c r="M17" s="16" t="n">
        <v>3.432506981119309</v>
      </c>
      <c r="N17" s="14" t="n">
        <v>860.3429769959404</v>
      </c>
      <c r="O17" s="15" t="n">
        <v>2.029282434949828</v>
      </c>
      <c r="P17" s="15" t="n">
        <v>2.627575112997337</v>
      </c>
      <c r="Q17" s="15" t="n">
        <v>2.627205066732786</v>
      </c>
    </row>
    <row r="18">
      <c r="A18" s="12" t="inlineStr">
        <is>
          <t>SOUTH ZONE RO</t>
        </is>
      </c>
      <c r="B18" s="12" t="inlineStr">
        <is>
          <t>May</t>
        </is>
      </c>
      <c r="C18" s="13" t="n">
        <v>657</v>
      </c>
      <c r="D18" s="14" t="n">
        <v>545142.74</v>
      </c>
      <c r="E18" s="14" t="n">
        <v>7713159.65</v>
      </c>
      <c r="F18" s="14" t="n">
        <v>10064428.78</v>
      </c>
      <c r="G18" s="14" t="n">
        <v>2351269.13</v>
      </c>
      <c r="H18" s="16" t="n">
        <v>14.43994861932964</v>
      </c>
      <c r="I18" s="16" t="n">
        <v>23.99037759995415</v>
      </c>
      <c r="J18" s="16" t="n">
        <v>14.148880805053</v>
      </c>
      <c r="K18" s="16" t="n">
        <v>18.46200644623828</v>
      </c>
      <c r="L18" s="16" t="n">
        <v>4.313125641185279</v>
      </c>
      <c r="M18" s="16" t="n">
        <v>4.313125641185277</v>
      </c>
      <c r="N18" s="14" t="n">
        <v>829.7454185692542</v>
      </c>
      <c r="O18" s="15" t="n">
        <v>1.739949616377654</v>
      </c>
      <c r="P18" s="15" t="n">
        <v>2.39597349407585</v>
      </c>
      <c r="Q18" s="15" t="n">
        <v>2.484829155484575</v>
      </c>
    </row>
    <row r="19">
      <c r="A19" s="12" t="inlineStr">
        <is>
          <t>SOUTH ZONE RO</t>
        </is>
      </c>
      <c r="B19" s="12" t="inlineStr">
        <is>
          <t>June</t>
        </is>
      </c>
      <c r="C19" s="13" t="n">
        <v>721</v>
      </c>
      <c r="D19" s="14" t="n">
        <v>580917.63</v>
      </c>
      <c r="E19" s="14" t="n">
        <v>8245593.05</v>
      </c>
      <c r="F19" s="14" t="n">
        <v>11149311.73</v>
      </c>
      <c r="G19" s="14" t="n">
        <v>2903718.68</v>
      </c>
      <c r="H19" s="16" t="n">
        <v>14.18343877487301</v>
      </c>
      <c r="I19" s="16" t="n">
        <v>23.62930703598298</v>
      </c>
      <c r="J19" s="16" t="n">
        <v>14.19408298901171</v>
      </c>
      <c r="K19" s="16" t="n">
        <v>19.19258627079368</v>
      </c>
      <c r="L19" s="16" t="n">
        <v>4.998503281781963</v>
      </c>
      <c r="M19" s="16" t="n">
        <v>4.998503281781964</v>
      </c>
      <c r="N19" s="14" t="n">
        <v>805.7109986130374</v>
      </c>
      <c r="O19" s="15" t="n">
        <v>1.854133483398341</v>
      </c>
      <c r="P19" s="15" t="n">
        <v>2.561365677259908</v>
      </c>
      <c r="Q19" s="15" t="n">
        <v>2.752678314475605</v>
      </c>
    </row>
    <row r="20">
      <c r="A20" s="12" t="inlineStr">
        <is>
          <t>SOUTH ZONE RO</t>
        </is>
      </c>
      <c r="B20" s="12" t="inlineStr">
        <is>
          <t>July</t>
        </is>
      </c>
      <c r="C20" s="13" t="n">
        <v>709</v>
      </c>
      <c r="D20" s="14" t="n">
        <v>497181.28</v>
      </c>
      <c r="E20" s="14" t="n">
        <v>6493948.18</v>
      </c>
      <c r="F20" s="14" t="n">
        <v>8412460.970000001</v>
      </c>
      <c r="G20" s="14" t="n">
        <v>1918512.79</v>
      </c>
      <c r="H20" s="16" t="n">
        <v>13.6365011889815</v>
      </c>
      <c r="I20" s="16" t="n">
        <v>22.19416939837897</v>
      </c>
      <c r="J20" s="16" t="n">
        <v>13.06152995140927</v>
      </c>
      <c r="K20" s="16" t="n">
        <v>16.92030916771444</v>
      </c>
      <c r="L20" s="16" t="n">
        <v>3.858779216305167</v>
      </c>
      <c r="M20" s="16" t="n">
        <v>3.858779216305168</v>
      </c>
      <c r="N20" s="14" t="n">
        <v>701.2429901269394</v>
      </c>
      <c r="O20" s="15" t="n">
        <v>1.586869481938163</v>
      </c>
      <c r="P20" s="15" t="n">
        <v>2.017244348259031</v>
      </c>
      <c r="Q20" s="15" t="n">
        <v>2.076971156989205</v>
      </c>
    </row>
    <row r="21">
      <c r="A21" s="12" t="inlineStr">
        <is>
          <t>NORTH EAST ZONE RO</t>
        </is>
      </c>
      <c r="B21" s="12" t="inlineStr">
        <is>
          <t>April</t>
        </is>
      </c>
      <c r="C21" s="13" t="n">
        <v>474</v>
      </c>
      <c r="D21" s="14" t="n">
        <v>435213</v>
      </c>
      <c r="E21" s="14" t="n">
        <v>2748610.42</v>
      </c>
      <c r="F21" s="14" t="n">
        <v>3023518.33</v>
      </c>
      <c r="G21" s="14" t="n">
        <v>274907.91</v>
      </c>
      <c r="H21" s="16" t="n">
        <v>6.331473406619002</v>
      </c>
      <c r="I21" s="16" t="n">
        <v>7.886181548241605</v>
      </c>
      <c r="J21" s="16" t="n">
        <v>6.315552200876352</v>
      </c>
      <c r="K21" s="16" t="n">
        <v>6.947215110761857</v>
      </c>
      <c r="L21" s="16" t="n">
        <v>0.6316629098855043</v>
      </c>
      <c r="M21" s="16" t="n">
        <v>0.6316629098855051</v>
      </c>
      <c r="N21" s="14" t="n">
        <v>918.1708860759494</v>
      </c>
      <c r="O21" s="15" t="n">
        <v>1.389083329611191</v>
      </c>
      <c r="P21" s="15" t="n">
        <v>0.8538132245014129</v>
      </c>
      <c r="Q21" s="15" t="n">
        <v>0.7464831499881738</v>
      </c>
    </row>
    <row r="22">
      <c r="A22" s="12" t="inlineStr">
        <is>
          <t>NORTH EAST ZONE RO</t>
        </is>
      </c>
      <c r="B22" s="12" t="inlineStr">
        <is>
          <t>May</t>
        </is>
      </c>
      <c r="C22" s="13" t="n">
        <v>463</v>
      </c>
      <c r="D22" s="14" t="n">
        <v>336898.7</v>
      </c>
      <c r="E22" s="14" t="n">
        <v>2024565.53</v>
      </c>
      <c r="F22" s="14" t="n">
        <v>2318816.17</v>
      </c>
      <c r="G22" s="14" t="n">
        <v>294250.64</v>
      </c>
      <c r="H22" s="16" t="n">
        <v>6.231874308637137</v>
      </c>
      <c r="I22" s="16" t="n">
        <v>7.835798569727047</v>
      </c>
      <c r="J22" s="16" t="n">
        <v>6.00941924085786</v>
      </c>
      <c r="K22" s="16" t="n">
        <v>6.882829081857543</v>
      </c>
      <c r="L22" s="16" t="n">
        <v>0.8734098409996833</v>
      </c>
      <c r="M22" s="16" t="n">
        <v>0.8734098409996829</v>
      </c>
      <c r="N22" s="14" t="n">
        <v>727.6429805615551</v>
      </c>
      <c r="O22" s="15" t="n">
        <v>1.075290416273599</v>
      </c>
      <c r="P22" s="15" t="n">
        <v>0.6288999018579403</v>
      </c>
      <c r="Q22" s="15" t="n">
        <v>0.5724976699000573</v>
      </c>
    </row>
    <row r="23">
      <c r="A23" s="12" t="inlineStr">
        <is>
          <t>NORTH EAST ZONE RO</t>
        </is>
      </c>
      <c r="B23" s="12" t="inlineStr">
        <is>
          <t>June</t>
        </is>
      </c>
      <c r="C23" s="13" t="n">
        <v>487</v>
      </c>
      <c r="D23" s="14" t="n">
        <v>344897.36</v>
      </c>
      <c r="E23" s="14" t="n">
        <v>1998583.43</v>
      </c>
      <c r="F23" s="14" t="n">
        <v>2299751.19</v>
      </c>
      <c r="G23" s="14" t="n">
        <v>301167.76</v>
      </c>
      <c r="H23" s="16" t="n">
        <v>6.187024817907878</v>
      </c>
      <c r="I23" s="16" t="n">
        <v>7.958106078225761</v>
      </c>
      <c r="J23" s="16" t="n">
        <v>5.79471942029362</v>
      </c>
      <c r="K23" s="16" t="n">
        <v>6.667929235526767</v>
      </c>
      <c r="L23" s="16" t="n">
        <v>0.8732098152331466</v>
      </c>
      <c r="M23" s="16" t="n">
        <v>0.8732098152331469</v>
      </c>
      <c r="N23" s="14" t="n">
        <v>708.2081314168378</v>
      </c>
      <c r="O23" s="15" t="n">
        <v>1.100819996652006</v>
      </c>
      <c r="P23" s="15" t="n">
        <v>0.6208289652061327</v>
      </c>
      <c r="Q23" s="15" t="n">
        <v>0.5677906746807291</v>
      </c>
    </row>
    <row r="24">
      <c r="A24" s="12" t="inlineStr">
        <is>
          <t>NORTH EAST ZONE RO</t>
        </is>
      </c>
      <c r="B24" s="12" t="inlineStr">
        <is>
          <t>July</t>
        </is>
      </c>
      <c r="C24" s="13" t="n">
        <v>461</v>
      </c>
      <c r="D24" s="14" t="n">
        <v>380988.267</v>
      </c>
      <c r="E24" s="14" t="n">
        <v>2104873.24</v>
      </c>
      <c r="F24" s="14" t="n">
        <v>2406629.72</v>
      </c>
      <c r="G24" s="14" t="n">
        <v>301756.48</v>
      </c>
      <c r="H24" s="16" t="n">
        <v>6.00342799925245</v>
      </c>
      <c r="I24" s="16" t="n">
        <v>7.19500278738214</v>
      </c>
      <c r="J24" s="16" t="n">
        <v>5.524771816660696</v>
      </c>
      <c r="K24" s="16" t="n">
        <v>6.316807966162381</v>
      </c>
      <c r="L24" s="16" t="n">
        <v>0.7920361495016853</v>
      </c>
      <c r="M24" s="16" t="n">
        <v>0.7920361495016852</v>
      </c>
      <c r="N24" s="14" t="n">
        <v>826.4387570498915</v>
      </c>
      <c r="O24" s="15" t="n">
        <v>1.21601250529547</v>
      </c>
      <c r="P24" s="15" t="n">
        <v>0.6538462472288585</v>
      </c>
      <c r="Q24" s="15" t="n">
        <v>0.59417815212675</v>
      </c>
    </row>
    <row r="25">
      <c r="A25" s="12" t="inlineStr">
        <is>
          <t>NEPAL ZONE</t>
        </is>
      </c>
      <c r="B25" s="12" t="inlineStr">
        <is>
          <t>April</t>
        </is>
      </c>
      <c r="C25" s="13" t="n">
        <v>37</v>
      </c>
      <c r="D25" s="14" t="n">
        <v>101937.34</v>
      </c>
      <c r="E25" s="14" t="n">
        <v>250010.14</v>
      </c>
      <c r="F25" s="14" t="n">
        <v>451855.36</v>
      </c>
      <c r="G25" s="14" t="n">
        <v>201845.22</v>
      </c>
      <c r="H25" s="16" t="n">
        <v>4.670493762460594</v>
      </c>
      <c r="I25" s="16" t="n">
        <v>21.08154206913959</v>
      </c>
      <c r="J25" s="16" t="n">
        <v>2.452586461447787</v>
      </c>
      <c r="K25" s="16" t="n">
        <v>4.432677564472449</v>
      </c>
      <c r="L25" s="16" t="n">
        <v>1.980091103024662</v>
      </c>
      <c r="M25" s="16" t="n">
        <v>1.980091103024662</v>
      </c>
      <c r="N25" s="14" t="n">
        <v>2755.063243243243</v>
      </c>
      <c r="O25" s="15" t="n">
        <v>0.3253566866313921</v>
      </c>
      <c r="P25" s="15" t="n">
        <v>0.07766177492387215</v>
      </c>
      <c r="Q25" s="15" t="n">
        <v>0.1115595725433688</v>
      </c>
    </row>
    <row r="26">
      <c r="A26" s="12" t="inlineStr">
        <is>
          <t>NEPAL ZONE</t>
        </is>
      </c>
      <c r="B26" s="12" t="inlineStr">
        <is>
          <t>May</t>
        </is>
      </c>
      <c r="C26" s="13" t="n">
        <v>47</v>
      </c>
      <c r="D26" s="14" t="n">
        <v>82601</v>
      </c>
      <c r="E26" s="14" t="n">
        <v>173978.55</v>
      </c>
      <c r="F26" s="14" t="n">
        <v>342132.45</v>
      </c>
      <c r="G26" s="14" t="n">
        <v>168153.9</v>
      </c>
      <c r="H26" s="16" t="n">
        <v>5.824215530646471</v>
      </c>
      <c r="I26" s="16" t="n">
        <v>22.43257771818753</v>
      </c>
      <c r="J26" s="16" t="n">
        <v>2.106252345613249</v>
      </c>
      <c r="K26" s="16" t="n">
        <v>4.14198920109926</v>
      </c>
      <c r="L26" s="16" t="n">
        <v>2.035736855486011</v>
      </c>
      <c r="M26" s="16" t="n">
        <v>2.035736855486011</v>
      </c>
      <c r="N26" s="14" t="n">
        <v>1757.468085106383</v>
      </c>
      <c r="O26" s="15" t="n">
        <v>0.263640268349553</v>
      </c>
      <c r="P26" s="15" t="n">
        <v>0.05404373995263407</v>
      </c>
      <c r="Q26" s="15" t="n">
        <v>0.08446983980717966</v>
      </c>
    </row>
    <row r="27">
      <c r="A27" s="12" t="inlineStr">
        <is>
          <t>NEPAL ZONE</t>
        </is>
      </c>
      <c r="B27" s="12" t="inlineStr">
        <is>
          <t>June</t>
        </is>
      </c>
      <c r="C27" s="13" t="n">
        <v>39</v>
      </c>
      <c r="D27" s="14" t="n">
        <v>61838</v>
      </c>
      <c r="E27" s="14" t="n">
        <v>158548.35</v>
      </c>
      <c r="F27" s="14" t="n">
        <v>309011.15</v>
      </c>
      <c r="G27" s="14" t="n">
        <v>150462.8</v>
      </c>
      <c r="H27" s="16" t="n">
        <v>8.191229417779809</v>
      </c>
      <c r="I27" s="16" t="n">
        <v>20.92300803836541</v>
      </c>
      <c r="J27" s="16" t="n">
        <v>2.563930754552217</v>
      </c>
      <c r="K27" s="16" t="n">
        <v>4.997107765451664</v>
      </c>
      <c r="L27" s="16" t="n">
        <v>2.433177010899447</v>
      </c>
      <c r="M27" s="16" t="n">
        <v>2.433177010899447</v>
      </c>
      <c r="N27" s="14" t="n">
        <v>1585.589743589744</v>
      </c>
      <c r="O27" s="15" t="n">
        <v>0.1973703334608498</v>
      </c>
      <c r="P27" s="15" t="n">
        <v>0.04925058748517682</v>
      </c>
      <c r="Q27" s="15" t="n">
        <v>0.07629244855064864</v>
      </c>
    </row>
    <row r="28">
      <c r="A28" s="12" t="inlineStr">
        <is>
          <t>NEPAL ZONE</t>
        </is>
      </c>
      <c r="B28" s="12" t="inlineStr">
        <is>
          <t>July</t>
        </is>
      </c>
      <c r="C28" s="13" t="n">
        <v>40</v>
      </c>
      <c r="D28" s="14" t="n">
        <v>79445</v>
      </c>
      <c r="E28" s="14" t="n">
        <v>171662.5</v>
      </c>
      <c r="F28" s="14" t="n">
        <v>319250.01</v>
      </c>
      <c r="G28" s="14" t="n">
        <v>147587.51</v>
      </c>
      <c r="H28" s="16" t="n">
        <v>5.526351398803539</v>
      </c>
      <c r="I28" s="16" t="n">
        <v>17.58983503179514</v>
      </c>
      <c r="J28" s="16" t="n">
        <v>2.160771602995783</v>
      </c>
      <c r="K28" s="16" t="n">
        <v>4.018503492982567</v>
      </c>
      <c r="L28" s="16" t="n">
        <v>1.857731889986783</v>
      </c>
      <c r="M28" s="16" t="n">
        <v>1.857731889986784</v>
      </c>
      <c r="N28" s="14" t="n">
        <v>1986.125</v>
      </c>
      <c r="O28" s="15" t="n">
        <v>0.2535671616448982</v>
      </c>
      <c r="P28" s="15" t="n">
        <v>0.05332429491807493</v>
      </c>
      <c r="Q28" s="15" t="n">
        <v>0.07882034341711962</v>
      </c>
    </row>
  </sheetData>
  <mergeCells count="2">
    <mergeCell ref="A2:Q2"/>
    <mergeCell ref="A1:Q1"/>
  </mergeCells>
  <conditionalFormatting sqref="J5:J28">
    <cfRule type="colorScale" priority="1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K5:K28">
    <cfRule type="colorScale" priority="2">
      <colorScale>
        <cfvo type="min"/>
        <cfvo type="percentile" val="50"/>
        <cfvo type="max"/>
        <color rgb="00F4C7C3"/>
        <color rgb="00FFF2CC"/>
        <color rgb="00B7E1C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15" customWidth="1" min="5" max="5"/>
    <col width="15" customWidth="1" min="6" max="6"/>
    <col width="13" customWidth="1" min="7" max="7"/>
    <col width="25" customWidth="1" min="8" max="8"/>
    <col width="26" customWidth="1" min="9" max="9"/>
    <col width="20" customWidth="1" min="10" max="10"/>
    <col width="20" customWidth="1" min="11" max="11"/>
    <col width="20" customWidth="1" min="12" max="12"/>
    <col width="28" customWidth="1" min="13" max="13"/>
    <col width="23" customWidth="1" min="14" max="14"/>
    <col width="21" customWidth="1" min="15" max="15"/>
    <col width="23" customWidth="1" min="16" max="16"/>
    <col width="23" customWidth="1" min="17" max="17"/>
  </cols>
  <sheetData>
    <row r="1" ht="22" customHeight="1">
      <c r="A1" s="6" t="inlineStr">
        <is>
          <t>Yield by destination zone and month</t>
        </is>
      </c>
    </row>
    <row r="2" ht="18" customHeight="1">
      <c r="A2" s="7" t="inlineStr">
        <is>
          <t>Volume-weighted yields</t>
        </is>
      </c>
    </row>
    <row r="3"/>
    <row r="4" ht="32" customHeight="1">
      <c r="A4" s="11" t="inlineStr">
        <is>
          <t>Destination zone</t>
        </is>
      </c>
      <c r="B4" s="11" t="inlineStr">
        <is>
          <t>Month</t>
        </is>
      </c>
      <c r="C4" s="11" t="inlineStr">
        <is>
          <t>Shipments</t>
        </is>
      </c>
      <c r="D4" s="11" t="inlineStr">
        <is>
          <t>Charged weight</t>
        </is>
      </c>
      <c r="E4" s="11" t="inlineStr">
        <is>
          <t>Basic freight</t>
        </is>
      </c>
      <c r="F4" s="11" t="inlineStr">
        <is>
          <t>Total freight</t>
        </is>
      </c>
      <c r="G4" s="11" t="inlineStr">
        <is>
          <t>VAS freight</t>
        </is>
      </c>
      <c r="H4" s="11" t="inlineStr">
        <is>
          <t>Avg shipment base yield</t>
        </is>
      </c>
      <c r="I4" s="11" t="inlineStr">
        <is>
          <t>Avg shipment total yield</t>
        </is>
      </c>
      <c r="J4" s="11" t="inlineStr">
        <is>
          <t>Base yield</t>
        </is>
      </c>
      <c r="K4" s="11" t="inlineStr">
        <is>
          <t>Total yield</t>
        </is>
      </c>
      <c r="L4" s="11" t="inlineStr">
        <is>
          <t>VAS yield</t>
        </is>
      </c>
      <c r="M4" s="11" t="inlineStr">
        <is>
          <t>Yield uplift (total − base)</t>
        </is>
      </c>
      <c r="N4" s="11" t="inlineStr">
        <is>
          <t>Avg weight / shipment</t>
        </is>
      </c>
      <c r="O4" s="11" t="inlineStr">
        <is>
          <t>Weight share %</t>
        </is>
      </c>
      <c r="P4" s="11" t="inlineStr">
        <is>
          <t>Basic freight share %</t>
        </is>
      </c>
      <c r="Q4" s="11" t="inlineStr">
        <is>
          <t>Total freight share %</t>
        </is>
      </c>
    </row>
    <row r="5">
      <c r="A5" s="12" t="inlineStr">
        <is>
          <t>NORTH ZONE RO</t>
        </is>
      </c>
      <c r="B5" s="12" t="inlineStr">
        <is>
          <t>April</t>
        </is>
      </c>
      <c r="C5" s="13" t="n">
        <v>303</v>
      </c>
      <c r="D5" s="14" t="n">
        <v>148085.55</v>
      </c>
      <c r="E5" s="14" t="n">
        <v>926386.36</v>
      </c>
      <c r="F5" s="14" t="n">
        <v>1123892.06</v>
      </c>
      <c r="G5" s="14" t="n">
        <v>197505.7</v>
      </c>
      <c r="H5" s="16" t="n">
        <v>7.225511551155115</v>
      </c>
      <c r="I5" s="16" t="n">
        <v>9.195521903996713</v>
      </c>
      <c r="J5" s="16" t="n">
        <v>6.255751219480902</v>
      </c>
      <c r="K5" s="16" t="n">
        <v>7.589478244163594</v>
      </c>
      <c r="L5" s="16" t="n">
        <v>1.333727024682692</v>
      </c>
      <c r="M5" s="16" t="n">
        <v>1.333727024682692</v>
      </c>
      <c r="N5" s="14" t="n">
        <v>488.7311881188118</v>
      </c>
      <c r="O5" s="15" t="n">
        <v>0.4726494127273416</v>
      </c>
      <c r="P5" s="15" t="n">
        <v>0.2877675640790617</v>
      </c>
      <c r="Q5" s="15" t="n">
        <v>0.2774802047241095</v>
      </c>
    </row>
    <row r="6">
      <c r="A6" s="12" t="inlineStr">
        <is>
          <t>NORTH ZONE RO</t>
        </is>
      </c>
      <c r="B6" s="12" t="inlineStr">
        <is>
          <t>May</t>
        </is>
      </c>
      <c r="C6" s="13" t="n">
        <v>141</v>
      </c>
      <c r="D6" s="14" t="n">
        <v>157217</v>
      </c>
      <c r="E6" s="14" t="n">
        <v>834381.5</v>
      </c>
      <c r="F6" s="14" t="n">
        <v>1022602.02</v>
      </c>
      <c r="G6" s="14" t="n">
        <v>188220.52</v>
      </c>
      <c r="H6" s="16" t="n">
        <v>7.553809692671395</v>
      </c>
      <c r="I6" s="16" t="n">
        <v>10.24785483478766</v>
      </c>
      <c r="J6" s="16" t="n">
        <v>5.307196422778707</v>
      </c>
      <c r="K6" s="16" t="n">
        <v>6.504398506522832</v>
      </c>
      <c r="L6" s="16" t="n">
        <v>1.197202083744124</v>
      </c>
      <c r="M6" s="16" t="n">
        <v>1.197202083744124</v>
      </c>
      <c r="N6" s="14" t="n">
        <v>1115.014184397163</v>
      </c>
      <c r="O6" s="15" t="n">
        <v>0.5017945553820374</v>
      </c>
      <c r="P6" s="15" t="n">
        <v>0.2591876803622558</v>
      </c>
      <c r="Q6" s="15" t="n">
        <v>0.2524724819756159</v>
      </c>
    </row>
    <row r="7">
      <c r="A7" s="12" t="inlineStr">
        <is>
          <t>NORTH ZONE RO</t>
        </is>
      </c>
      <c r="B7" s="12" t="inlineStr">
        <is>
          <t>June</t>
        </is>
      </c>
      <c r="C7" s="13" t="n">
        <v>199</v>
      </c>
      <c r="D7" s="14" t="n">
        <v>179209</v>
      </c>
      <c r="E7" s="14" t="n">
        <v>1178122.45</v>
      </c>
      <c r="F7" s="14" t="n">
        <v>1506518.35</v>
      </c>
      <c r="G7" s="14" t="n">
        <v>328395.9</v>
      </c>
      <c r="H7" s="16" t="n">
        <v>7.349557480359978</v>
      </c>
      <c r="I7" s="16" t="n">
        <v>9.424036336294398</v>
      </c>
      <c r="J7" s="16" t="n">
        <v>6.574013860911003</v>
      </c>
      <c r="K7" s="16" t="n">
        <v>8.40648823440787</v>
      </c>
      <c r="L7" s="16" t="n">
        <v>1.832474373496867</v>
      </c>
      <c r="M7" s="16" t="n">
        <v>1.832474373496868</v>
      </c>
      <c r="N7" s="14" t="n">
        <v>900.5477386934673</v>
      </c>
      <c r="O7" s="15" t="n">
        <v>0.571987129098377</v>
      </c>
      <c r="P7" s="15" t="n">
        <v>0.3659654786188305</v>
      </c>
      <c r="Q7" s="15" t="n">
        <v>0.3719476585488358</v>
      </c>
    </row>
    <row r="8">
      <c r="A8" s="12" t="inlineStr">
        <is>
          <t>NORTH ZONE RO</t>
        </is>
      </c>
      <c r="B8" s="12" t="inlineStr">
        <is>
          <t>July</t>
        </is>
      </c>
      <c r="C8" s="13" t="n">
        <v>214</v>
      </c>
      <c r="D8" s="14" t="n">
        <v>240213.29</v>
      </c>
      <c r="E8" s="14" t="n">
        <v>1438894.5</v>
      </c>
      <c r="F8" s="14" t="n">
        <v>1718441.86</v>
      </c>
      <c r="G8" s="14" t="n">
        <v>279547.36</v>
      </c>
      <c r="H8" s="16" t="n">
        <v>7.184618470882612</v>
      </c>
      <c r="I8" s="16" t="n">
        <v>9.498048574811808</v>
      </c>
      <c r="J8" s="16" t="n">
        <v>5.990070324585288</v>
      </c>
      <c r="K8" s="16" t="n">
        <v>7.153816760096829</v>
      </c>
      <c r="L8" s="16" t="n">
        <v>1.163746435511541</v>
      </c>
      <c r="M8" s="16" t="n">
        <v>1.163746435511541</v>
      </c>
      <c r="N8" s="14" t="n">
        <v>1122.492009345794</v>
      </c>
      <c r="O8" s="15" t="n">
        <v>0.7666964835380806</v>
      </c>
      <c r="P8" s="15" t="n">
        <v>0.4469702740784736</v>
      </c>
      <c r="Q8" s="15" t="n">
        <v>0.4242699242125436</v>
      </c>
    </row>
    <row r="9">
      <c r="A9" s="12" t="inlineStr">
        <is>
          <t>EAST ZONE RO</t>
        </is>
      </c>
      <c r="B9" s="12" t="inlineStr">
        <is>
          <t>April</t>
        </is>
      </c>
      <c r="C9" s="13" t="n">
        <v>1528</v>
      </c>
      <c r="D9" s="14" t="n">
        <v>1278681.15</v>
      </c>
      <c r="E9" s="14" t="n">
        <v>12107510.13</v>
      </c>
      <c r="F9" s="14" t="n">
        <v>15286150.72</v>
      </c>
      <c r="G9" s="14" t="n">
        <v>3178640.59</v>
      </c>
      <c r="H9" s="16" t="n">
        <v>10.18126242936473</v>
      </c>
      <c r="I9" s="16" t="n">
        <v>16.39423860404795</v>
      </c>
      <c r="J9" s="16" t="n">
        <v>9.468748428801035</v>
      </c>
      <c r="K9" s="16" t="n">
        <v>11.95462271419267</v>
      </c>
      <c r="L9" s="16" t="n">
        <v>2.485874285391632</v>
      </c>
      <c r="M9" s="16" t="n">
        <v>2.485874285391633</v>
      </c>
      <c r="N9" s="14" t="n">
        <v>836.8332133507853</v>
      </c>
      <c r="O9" s="15" t="n">
        <v>4.08120775195839</v>
      </c>
      <c r="P9" s="15" t="n">
        <v>3.761010359838053</v>
      </c>
      <c r="Q9" s="15" t="n">
        <v>3.774031672782877</v>
      </c>
    </row>
    <row r="10">
      <c r="A10" s="12" t="inlineStr">
        <is>
          <t>EAST ZONE RO</t>
        </is>
      </c>
      <c r="B10" s="12" t="inlineStr">
        <is>
          <t>May</t>
        </is>
      </c>
      <c r="C10" s="13" t="n">
        <v>1470</v>
      </c>
      <c r="D10" s="14" t="n">
        <v>1104174.27</v>
      </c>
      <c r="E10" s="14" t="n">
        <v>10543202.8</v>
      </c>
      <c r="F10" s="14" t="n">
        <v>13753563.22</v>
      </c>
      <c r="G10" s="14" t="n">
        <v>3210360.42</v>
      </c>
      <c r="H10" s="16" t="n">
        <v>10.27557434553584</v>
      </c>
      <c r="I10" s="16" t="n">
        <v>17.6479492310387</v>
      </c>
      <c r="J10" s="16" t="n">
        <v>9.548495275116309</v>
      </c>
      <c r="K10" s="16" t="n">
        <v>12.45597148355938</v>
      </c>
      <c r="L10" s="16" t="n">
        <v>2.907476208443075</v>
      </c>
      <c r="M10" s="16" t="n">
        <v>2.907476208443075</v>
      </c>
      <c r="N10" s="14" t="n">
        <v>751.1389591836735</v>
      </c>
      <c r="O10" s="15" t="n">
        <v>3.524228530495657</v>
      </c>
      <c r="P10" s="15" t="n">
        <v>3.275082533973777</v>
      </c>
      <c r="Q10" s="15" t="n">
        <v>3.395647743940448</v>
      </c>
    </row>
    <row r="11">
      <c r="A11" s="12" t="inlineStr">
        <is>
          <t>EAST ZONE RO</t>
        </is>
      </c>
      <c r="B11" s="12" t="inlineStr">
        <is>
          <t>June</t>
        </is>
      </c>
      <c r="C11" s="13" t="n">
        <v>1552</v>
      </c>
      <c r="D11" s="14" t="n">
        <v>1031863.412</v>
      </c>
      <c r="E11" s="14" t="n">
        <v>10582847.1</v>
      </c>
      <c r="F11" s="14" t="n">
        <v>14155482.67</v>
      </c>
      <c r="G11" s="14" t="n">
        <v>3572635.57</v>
      </c>
      <c r="H11" s="16" t="n">
        <v>10.36904780871418</v>
      </c>
      <c r="I11" s="16" t="n">
        <v>17.22337945520578</v>
      </c>
      <c r="J11" s="16" t="n">
        <v>10.25605421892796</v>
      </c>
      <c r="K11" s="16" t="n">
        <v>13.71836863811584</v>
      </c>
      <c r="L11" s="16" t="n">
        <v>3.462314419187876</v>
      </c>
      <c r="M11" s="16" t="n">
        <v>3.462314419187877</v>
      </c>
      <c r="N11" s="14" t="n">
        <v>664.8604458762886</v>
      </c>
      <c r="O11" s="15" t="n">
        <v>3.29343163932356</v>
      </c>
      <c r="P11" s="15" t="n">
        <v>3.287397421296404</v>
      </c>
      <c r="Q11" s="15" t="n">
        <v>3.494878528851057</v>
      </c>
    </row>
    <row r="12">
      <c r="A12" s="12" t="inlineStr">
        <is>
          <t>EAST ZONE RO</t>
        </is>
      </c>
      <c r="B12" s="12" t="inlineStr">
        <is>
          <t>July</t>
        </is>
      </c>
      <c r="C12" s="13" t="n">
        <v>1817</v>
      </c>
      <c r="D12" s="14" t="n">
        <v>1138985.68</v>
      </c>
      <c r="E12" s="14" t="n">
        <v>10619719.36</v>
      </c>
      <c r="F12" s="14" t="n">
        <v>13740764.71</v>
      </c>
      <c r="G12" s="14" t="n">
        <v>3121045.35</v>
      </c>
      <c r="H12" s="16" t="n">
        <v>10.35470640887691</v>
      </c>
      <c r="I12" s="16" t="n">
        <v>16.57269379957645</v>
      </c>
      <c r="J12" s="16" t="n">
        <v>9.32383922509017</v>
      </c>
      <c r="K12" s="16" t="n">
        <v>12.06403640649811</v>
      </c>
      <c r="L12" s="16" t="n">
        <v>2.740197181407935</v>
      </c>
      <c r="M12" s="16" t="n">
        <v>2.740197181407936</v>
      </c>
      <c r="N12" s="14" t="n">
        <v>626.8495762245459</v>
      </c>
      <c r="O12" s="15" t="n">
        <v>3.635337227412478</v>
      </c>
      <c r="P12" s="15" t="n">
        <v>3.298851217358654</v>
      </c>
      <c r="Q12" s="15" t="n">
        <v>3.392487891405354</v>
      </c>
    </row>
    <row r="13">
      <c r="A13" s="12" t="inlineStr">
        <is>
          <t>WEST ZONE RO</t>
        </is>
      </c>
      <c r="B13" s="12" t="inlineStr">
        <is>
          <t>April</t>
        </is>
      </c>
      <c r="C13" s="13" t="n">
        <v>10</v>
      </c>
      <c r="D13" s="14" t="n">
        <v>21430</v>
      </c>
      <c r="E13" s="14" t="n">
        <v>106792</v>
      </c>
      <c r="F13" s="14" t="n">
        <v>129688.4</v>
      </c>
      <c r="G13" s="14" t="n">
        <v>22896.4</v>
      </c>
      <c r="H13" s="16" t="n">
        <v>5.687</v>
      </c>
      <c r="I13" s="16" t="n">
        <v>7.75264154146259</v>
      </c>
      <c r="J13" s="16" t="n">
        <v>4.983294447036864</v>
      </c>
      <c r="K13" s="16" t="n">
        <v>6.051721885207653</v>
      </c>
      <c r="L13" s="16" t="n">
        <v>1.068427438170789</v>
      </c>
      <c r="M13" s="16" t="n">
        <v>1.068427438170788</v>
      </c>
      <c r="N13" s="14" t="n">
        <v>2143</v>
      </c>
      <c r="O13" s="15" t="n">
        <v>0.06839882024104939</v>
      </c>
      <c r="P13" s="15" t="n">
        <v>0.03317327956246156</v>
      </c>
      <c r="Q13" s="15" t="n">
        <v>0.03201905686774066</v>
      </c>
    </row>
    <row r="14">
      <c r="A14" s="12" t="inlineStr">
        <is>
          <t>WEST ZONE RO</t>
        </is>
      </c>
      <c r="B14" s="12" t="inlineStr">
        <is>
          <t>May</t>
        </is>
      </c>
      <c r="C14" s="13" t="n">
        <v>35</v>
      </c>
      <c r="D14" s="14" t="n">
        <v>68422</v>
      </c>
      <c r="E14" s="14" t="n">
        <v>447538.6</v>
      </c>
      <c r="F14" s="14" t="n">
        <v>568965.33</v>
      </c>
      <c r="G14" s="14" t="n">
        <v>121426.73</v>
      </c>
      <c r="H14" s="16" t="n">
        <v>7.885714285714286</v>
      </c>
      <c r="I14" s="16" t="n">
        <v>11.13920092992197</v>
      </c>
      <c r="J14" s="16" t="n">
        <v>6.540858203501798</v>
      </c>
      <c r="K14" s="16" t="n">
        <v>8.315531992633948</v>
      </c>
      <c r="L14" s="16" t="n">
        <v>1.77467378913215</v>
      </c>
      <c r="M14" s="16" t="n">
        <v>1.774673789132151</v>
      </c>
      <c r="N14" s="14" t="n">
        <v>1954.914285714286</v>
      </c>
      <c r="O14" s="15" t="n">
        <v>0.2183846980183426</v>
      </c>
      <c r="P14" s="15" t="n">
        <v>0.1390209294028828</v>
      </c>
      <c r="Q14" s="15" t="n">
        <v>0.1404731129155948</v>
      </c>
    </row>
    <row r="15">
      <c r="A15" s="12" t="inlineStr">
        <is>
          <t>WEST ZONE RO</t>
        </is>
      </c>
      <c r="B15" s="12" t="inlineStr">
        <is>
          <t>June</t>
        </is>
      </c>
      <c r="C15" s="13" t="n">
        <v>32</v>
      </c>
      <c r="D15" s="14" t="n">
        <v>54562</v>
      </c>
      <c r="E15" s="14" t="n">
        <v>318435.3</v>
      </c>
      <c r="F15" s="14" t="n">
        <v>398389</v>
      </c>
      <c r="G15" s="14" t="n">
        <v>79953.7</v>
      </c>
      <c r="H15" s="16" t="n">
        <v>10.12322916666667</v>
      </c>
      <c r="I15" s="16" t="n">
        <v>14.93926059998001</v>
      </c>
      <c r="J15" s="16" t="n">
        <v>5.836210182911183</v>
      </c>
      <c r="K15" s="16" t="n">
        <v>7.301583519665702</v>
      </c>
      <c r="L15" s="16" t="n">
        <v>1.465373336754518</v>
      </c>
      <c r="M15" s="16" t="n">
        <v>1.465373336754518</v>
      </c>
      <c r="N15" s="14" t="n">
        <v>1705.0625</v>
      </c>
      <c r="O15" s="15" t="n">
        <v>0.1741472902469499</v>
      </c>
      <c r="P15" s="15" t="n">
        <v>0.09891699031253574</v>
      </c>
      <c r="Q15" s="15" t="n">
        <v>0.09835914427568182</v>
      </c>
    </row>
    <row r="16">
      <c r="A16" s="12" t="inlineStr">
        <is>
          <t>WEST ZONE RO</t>
        </is>
      </c>
      <c r="B16" s="12" t="inlineStr">
        <is>
          <t>July</t>
        </is>
      </c>
      <c r="C16" s="13" t="n">
        <v>47</v>
      </c>
      <c r="D16" s="14" t="n">
        <v>89761</v>
      </c>
      <c r="E16" s="14" t="n">
        <v>466806.35</v>
      </c>
      <c r="F16" s="14" t="n">
        <v>615498.59</v>
      </c>
      <c r="G16" s="14" t="n">
        <v>148692.24</v>
      </c>
      <c r="H16" s="16" t="n">
        <v>6.181404255319149</v>
      </c>
      <c r="I16" s="16" t="n">
        <v>9.696580209391426</v>
      </c>
      <c r="J16" s="16" t="n">
        <v>5.200547565200922</v>
      </c>
      <c r="K16" s="16" t="n">
        <v>6.85708258597832</v>
      </c>
      <c r="L16" s="16" t="n">
        <v>1.656535020777398</v>
      </c>
      <c r="M16" s="16" t="n">
        <v>1.656535020777398</v>
      </c>
      <c r="N16" s="14" t="n">
        <v>1909.808510638298</v>
      </c>
      <c r="O16" s="15" t="n">
        <v>0.2864930706326101</v>
      </c>
      <c r="P16" s="15" t="n">
        <v>0.1450061572971972</v>
      </c>
      <c r="Q16" s="15" t="n">
        <v>0.1519618127390283</v>
      </c>
    </row>
    <row r="17">
      <c r="A17" s="12" t="inlineStr">
        <is>
          <t>SOUTH ZONE RO</t>
        </is>
      </c>
      <c r="B17" s="12" t="inlineStr">
        <is>
          <t>April</t>
        </is>
      </c>
      <c r="C17" s="13" t="n">
        <v>90</v>
      </c>
      <c r="D17" s="14" t="n">
        <v>173293</v>
      </c>
      <c r="E17" s="14" t="n">
        <v>1455201.05</v>
      </c>
      <c r="F17" s="14" t="n">
        <v>1681884.49</v>
      </c>
      <c r="G17" s="14" t="n">
        <v>226683.44</v>
      </c>
      <c r="H17" s="16" t="n">
        <v>8.554408805031446</v>
      </c>
      <c r="I17" s="16" t="n">
        <v>10.9185342683275</v>
      </c>
      <c r="J17" s="16" t="n">
        <v>8.39734467058681</v>
      </c>
      <c r="K17" s="16" t="n">
        <v>9.70543813079582</v>
      </c>
      <c r="L17" s="16" t="n">
        <v>1.30809346020901</v>
      </c>
      <c r="M17" s="16" t="n">
        <v>1.30809346020901</v>
      </c>
      <c r="N17" s="14" t="n">
        <v>1925.477777777778</v>
      </c>
      <c r="O17" s="15" t="n">
        <v>0.553104841625393</v>
      </c>
      <c r="P17" s="15" t="n">
        <v>0.4520356510903215</v>
      </c>
      <c r="Q17" s="15" t="n">
        <v>0.415244194008724</v>
      </c>
    </row>
    <row r="18">
      <c r="A18" s="12" t="inlineStr">
        <is>
          <t>SOUTH ZONE RO</t>
        </is>
      </c>
      <c r="B18" s="12" t="inlineStr">
        <is>
          <t>May</t>
        </is>
      </c>
      <c r="C18" s="13" t="n">
        <v>93</v>
      </c>
      <c r="D18" s="14" t="n">
        <v>96203</v>
      </c>
      <c r="E18" s="14" t="n">
        <v>804361.4</v>
      </c>
      <c r="F18" s="14" t="n">
        <v>967982.73</v>
      </c>
      <c r="G18" s="14" t="n">
        <v>163621.33</v>
      </c>
      <c r="H18" s="16" t="n">
        <v>8.3731541218638</v>
      </c>
      <c r="I18" s="16" t="n">
        <v>11.45179276758538</v>
      </c>
      <c r="J18" s="16" t="n">
        <v>8.361084373668181</v>
      </c>
      <c r="K18" s="16" t="n">
        <v>10.06187676059998</v>
      </c>
      <c r="L18" s="16" t="n">
        <v>1.7007923869318</v>
      </c>
      <c r="M18" s="16" t="n">
        <v>1.7007923869318</v>
      </c>
      <c r="N18" s="14" t="n">
        <v>1034.440860215054</v>
      </c>
      <c r="O18" s="15" t="n">
        <v>0.3070542092230366</v>
      </c>
      <c r="P18" s="15" t="n">
        <v>0.249862401597994</v>
      </c>
      <c r="Q18" s="15" t="n">
        <v>0.2389874042617602</v>
      </c>
    </row>
    <row r="19">
      <c r="A19" s="12" t="inlineStr">
        <is>
          <t>SOUTH ZONE RO</t>
        </is>
      </c>
      <c r="B19" s="12" t="inlineStr">
        <is>
          <t>June</t>
        </is>
      </c>
      <c r="C19" s="13" t="n">
        <v>108</v>
      </c>
      <c r="D19" s="14" t="n">
        <v>185152</v>
      </c>
      <c r="E19" s="14" t="n">
        <v>1360111.55</v>
      </c>
      <c r="F19" s="14" t="n">
        <v>1677575.44</v>
      </c>
      <c r="G19" s="14" t="n">
        <v>317463.89</v>
      </c>
      <c r="H19" s="16" t="n">
        <v>8.504969135802469</v>
      </c>
      <c r="I19" s="16" t="n">
        <v>11.5217579475936</v>
      </c>
      <c r="J19" s="16" t="n">
        <v>7.345918758641549</v>
      </c>
      <c r="K19" s="16" t="n">
        <v>9.060531023159349</v>
      </c>
      <c r="L19" s="16" t="n">
        <v>1.714612264517802</v>
      </c>
      <c r="M19" s="16" t="n">
        <v>1.7146122645178</v>
      </c>
      <c r="N19" s="14" t="n">
        <v>1714.37037037037</v>
      </c>
      <c r="O19" s="15" t="n">
        <v>0.5909555933397469</v>
      </c>
      <c r="P19" s="15" t="n">
        <v>0.4224975717683246</v>
      </c>
      <c r="Q19" s="15" t="n">
        <v>0.4141803230920041</v>
      </c>
    </row>
    <row r="20">
      <c r="A20" s="12" t="inlineStr">
        <is>
          <t>SOUTH ZONE RO</t>
        </is>
      </c>
      <c r="B20" s="12" t="inlineStr">
        <is>
          <t>July</t>
        </is>
      </c>
      <c r="C20" s="13" t="n">
        <v>110</v>
      </c>
      <c r="D20" s="14" t="n">
        <v>232669</v>
      </c>
      <c r="E20" s="14" t="n">
        <v>1583918.99</v>
      </c>
      <c r="F20" s="14" t="n">
        <v>1883071.35</v>
      </c>
      <c r="G20" s="14" t="n">
        <v>299152.36</v>
      </c>
      <c r="H20" s="16" t="n">
        <v>7.882499494949495</v>
      </c>
      <c r="I20" s="16" t="n">
        <v>10.64048472154447</v>
      </c>
      <c r="J20" s="16" t="n">
        <v>6.807606470995276</v>
      </c>
      <c r="K20" s="16" t="n">
        <v>8.093348705672007</v>
      </c>
      <c r="L20" s="16" t="n">
        <v>1.28574223467673</v>
      </c>
      <c r="M20" s="16" t="n">
        <v>1.28574223467673</v>
      </c>
      <c r="N20" s="14" t="n">
        <v>2115.172727272727</v>
      </c>
      <c r="O20" s="15" t="n">
        <v>0.7426171305023201</v>
      </c>
      <c r="P20" s="15" t="n">
        <v>0.4920198840696097</v>
      </c>
      <c r="Q20" s="15" t="n">
        <v>0.4649156643282142</v>
      </c>
    </row>
    <row r="21">
      <c r="A21" s="12" t="inlineStr">
        <is>
          <t>NORTH EAST ZONE RO</t>
        </is>
      </c>
      <c r="B21" s="12" t="inlineStr">
        <is>
          <t>April</t>
        </is>
      </c>
      <c r="C21" s="13" t="n">
        <v>4385</v>
      </c>
      <c r="D21" s="14" t="n">
        <v>2518924.24</v>
      </c>
      <c r="E21" s="14" t="n">
        <v>27463463.38</v>
      </c>
      <c r="F21" s="14" t="n">
        <v>31645471.36</v>
      </c>
      <c r="G21" s="14" t="n">
        <v>4182007.98</v>
      </c>
      <c r="H21" s="16" t="n">
        <v>12.38569213817865</v>
      </c>
      <c r="I21" s="16" t="n">
        <v>15.84796276755267</v>
      </c>
      <c r="J21" s="16" t="n">
        <v>10.90285406122417</v>
      </c>
      <c r="K21" s="16" t="n">
        <v>12.56308977359319</v>
      </c>
      <c r="L21" s="16" t="n">
        <v>1.660235712369023</v>
      </c>
      <c r="M21" s="16" t="n">
        <v>1.660235712369023</v>
      </c>
      <c r="N21" s="14" t="n">
        <v>574.4411037628279</v>
      </c>
      <c r="O21" s="15" t="n">
        <v>8.039731511553056</v>
      </c>
      <c r="P21" s="15" t="n">
        <v>8.531099225205686</v>
      </c>
      <c r="Q21" s="15" t="n">
        <v>7.813020648587679</v>
      </c>
    </row>
    <row r="22">
      <c r="A22" s="12" t="inlineStr">
        <is>
          <t>NORTH EAST ZONE RO</t>
        </is>
      </c>
      <c r="B22" s="12" t="inlineStr">
        <is>
          <t>May</t>
        </is>
      </c>
      <c r="C22" s="13" t="n">
        <v>4485</v>
      </c>
      <c r="D22" s="14" t="n">
        <v>2636161.16</v>
      </c>
      <c r="E22" s="14" t="n">
        <v>29217017.3</v>
      </c>
      <c r="F22" s="14" t="n">
        <v>34129451.9</v>
      </c>
      <c r="G22" s="14" t="n">
        <v>4912434.6</v>
      </c>
      <c r="H22" s="16" t="n">
        <v>12.42818133706345</v>
      </c>
      <c r="I22" s="16" t="n">
        <v>16.37606929187241</v>
      </c>
      <c r="J22" s="16" t="n">
        <v>11.08316810949449</v>
      </c>
      <c r="K22" s="16" t="n">
        <v>12.94664848942695</v>
      </c>
      <c r="L22" s="16" t="n">
        <v>1.863480379932462</v>
      </c>
      <c r="M22" s="16" t="n">
        <v>1.863480379932462</v>
      </c>
      <c r="N22" s="14" t="n">
        <v>587.7728338907469</v>
      </c>
      <c r="O22" s="15" t="n">
        <v>8.413920359742242</v>
      </c>
      <c r="P22" s="15" t="n">
        <v>9.075813570999475</v>
      </c>
      <c r="Q22" s="15" t="n">
        <v>8.42629611631356</v>
      </c>
    </row>
    <row r="23">
      <c r="A23" s="12" t="inlineStr">
        <is>
          <t>NORTH EAST ZONE RO</t>
        </is>
      </c>
      <c r="B23" s="12" t="inlineStr">
        <is>
          <t>June</t>
        </is>
      </c>
      <c r="C23" s="13" t="n">
        <v>4671</v>
      </c>
      <c r="D23" s="14" t="n">
        <v>2694196.925</v>
      </c>
      <c r="E23" s="14" t="n">
        <v>29787906.72</v>
      </c>
      <c r="F23" s="14" t="n">
        <v>35913104.13</v>
      </c>
      <c r="G23" s="14" t="n">
        <v>6125197.41</v>
      </c>
      <c r="H23" s="16" t="n">
        <v>12.44630594584777</v>
      </c>
      <c r="I23" s="16" t="n">
        <v>16.60492940924602</v>
      </c>
      <c r="J23" s="16" t="n">
        <v>11.05632125238952</v>
      </c>
      <c r="K23" s="16" t="n">
        <v>13.32979924249598</v>
      </c>
      <c r="L23" s="16" t="n">
        <v>2.273477990106458</v>
      </c>
      <c r="M23" s="16" t="n">
        <v>2.273477990106459</v>
      </c>
      <c r="N23" s="14" t="n">
        <v>576.7923196317705</v>
      </c>
      <c r="O23" s="15" t="n">
        <v>8.599154977464444</v>
      </c>
      <c r="P23" s="15" t="n">
        <v>9.253151520742072</v>
      </c>
      <c r="Q23" s="15" t="n">
        <v>8.866665973483844</v>
      </c>
    </row>
    <row r="24">
      <c r="A24" s="12" t="inlineStr">
        <is>
          <t>NORTH EAST ZONE RO</t>
        </is>
      </c>
      <c r="B24" s="12" t="inlineStr">
        <is>
          <t>July</t>
        </is>
      </c>
      <c r="C24" s="13" t="n">
        <v>4773</v>
      </c>
      <c r="D24" s="14" t="n">
        <v>2585386.322</v>
      </c>
      <c r="E24" s="14" t="n">
        <v>29212126.16</v>
      </c>
      <c r="F24" s="14" t="n">
        <v>35618055.57</v>
      </c>
      <c r="G24" s="14" t="n">
        <v>6405929.41</v>
      </c>
      <c r="H24" s="16" t="n">
        <v>12.54655776539405</v>
      </c>
      <c r="I24" s="16" t="n">
        <v>17.01893927539712</v>
      </c>
      <c r="J24" s="16" t="n">
        <v>11.29894047609957</v>
      </c>
      <c r="K24" s="16" t="n">
        <v>13.77668600893913</v>
      </c>
      <c r="L24" s="16" t="n">
        <v>2.47774553283956</v>
      </c>
      <c r="M24" s="16" t="n">
        <v>2.47774553283956</v>
      </c>
      <c r="N24" s="14" t="n">
        <v>541.66903875969</v>
      </c>
      <c r="O24" s="15" t="n">
        <v>8.251860676255056</v>
      </c>
      <c r="P24" s="15" t="n">
        <v>9.074294214169383</v>
      </c>
      <c r="Q24" s="15" t="n">
        <v>8.793820779762701</v>
      </c>
    </row>
    <row r="25">
      <c r="A25" s="12" t="inlineStr">
        <is>
          <t>NEPAL ZONE</t>
        </is>
      </c>
      <c r="B25" s="12" t="inlineStr">
        <is>
          <t>April</t>
        </is>
      </c>
      <c r="C25" s="13" t="n">
        <v>3742</v>
      </c>
      <c r="D25" s="14" t="n">
        <v>3717907.91</v>
      </c>
      <c r="E25" s="14" t="n">
        <v>38111206.75</v>
      </c>
      <c r="F25" s="14" t="n">
        <v>48717086.24</v>
      </c>
      <c r="G25" s="14" t="n">
        <v>10605879.49</v>
      </c>
      <c r="H25" s="16" t="n">
        <v>11.09207748752581</v>
      </c>
      <c r="I25" s="16" t="n">
        <v>19.75453552227071</v>
      </c>
      <c r="J25" s="16" t="n">
        <v>10.25071294732526</v>
      </c>
      <c r="K25" s="16" t="n">
        <v>13.10336012061149</v>
      </c>
      <c r="L25" s="16" t="n">
        <v>2.852647173286226</v>
      </c>
      <c r="M25" s="16" t="n">
        <v>2.852647173286227</v>
      </c>
      <c r="N25" s="14" t="n">
        <v>993.5617076429717</v>
      </c>
      <c r="O25" s="15" t="n">
        <v>11.86656625333017</v>
      </c>
      <c r="P25" s="15" t="n">
        <v>11.83865566690878</v>
      </c>
      <c r="Q25" s="15" t="n">
        <v>12.0278695299594</v>
      </c>
    </row>
    <row r="26">
      <c r="A26" s="12" t="inlineStr">
        <is>
          <t>NEPAL ZONE</t>
        </is>
      </c>
      <c r="B26" s="12" t="inlineStr">
        <is>
          <t>May</t>
        </is>
      </c>
      <c r="C26" s="13" t="n">
        <v>3555</v>
      </c>
      <c r="D26" s="14" t="n">
        <v>3507244.756</v>
      </c>
      <c r="E26" s="14" t="n">
        <v>36439714.79</v>
      </c>
      <c r="F26" s="14" t="n">
        <v>46988596.13</v>
      </c>
      <c r="G26" s="14" t="n">
        <v>10548881.34</v>
      </c>
      <c r="H26" s="16" t="n">
        <v>11.16311317848156</v>
      </c>
      <c r="I26" s="16" t="n">
        <v>20.26935703368596</v>
      </c>
      <c r="J26" s="16" t="n">
        <v>10.38984083664562</v>
      </c>
      <c r="K26" s="16" t="n">
        <v>13.39758112108216</v>
      </c>
      <c r="L26" s="16" t="n">
        <v>3.007740284436539</v>
      </c>
      <c r="M26" s="16" t="n">
        <v>3.00774028443654</v>
      </c>
      <c r="N26" s="14" t="n">
        <v>986.5667386779185</v>
      </c>
      <c r="O26" s="15" t="n">
        <v>11.19418588926771</v>
      </c>
      <c r="P26" s="15" t="n">
        <v>11.31943259705816</v>
      </c>
      <c r="Q26" s="15" t="n">
        <v>11.60111877100626</v>
      </c>
    </row>
    <row r="27">
      <c r="A27" s="12" t="inlineStr">
        <is>
          <t>NEPAL ZONE</t>
        </is>
      </c>
      <c r="B27" s="12" t="inlineStr">
        <is>
          <t>June</t>
        </is>
      </c>
      <c r="C27" s="13" t="n">
        <v>4104</v>
      </c>
      <c r="D27" s="14" t="n">
        <v>3870731.134</v>
      </c>
      <c r="E27" s="14" t="n">
        <v>41460938</v>
      </c>
      <c r="F27" s="14" t="n">
        <v>55245360.72</v>
      </c>
      <c r="G27" s="14" t="n">
        <v>13784422.72</v>
      </c>
      <c r="H27" s="16" t="n">
        <v>11.34274980703747</v>
      </c>
      <c r="I27" s="16" t="n">
        <v>20.7684485690134</v>
      </c>
      <c r="J27" s="16" t="n">
        <v>10.71139703706426</v>
      </c>
      <c r="K27" s="16" t="n">
        <v>14.2725905797827</v>
      </c>
      <c r="L27" s="16" t="n">
        <v>3.561193542718434</v>
      </c>
      <c r="M27" s="16" t="n">
        <v>3.561193542718433</v>
      </c>
      <c r="N27" s="14" t="n">
        <v>943.160607699805</v>
      </c>
      <c r="O27" s="15" t="n">
        <v>12.35433705253846</v>
      </c>
      <c r="P27" s="15" t="n">
        <v>12.87919776009332</v>
      </c>
      <c r="Q27" s="15" t="n">
        <v>13.63964970323118</v>
      </c>
    </row>
    <row r="28">
      <c r="A28" s="12" t="inlineStr">
        <is>
          <t>NEPAL ZONE</t>
        </is>
      </c>
      <c r="B28" s="12" t="inlineStr">
        <is>
          <t>July</t>
        </is>
      </c>
      <c r="C28" s="13" t="n">
        <v>3396</v>
      </c>
      <c r="D28" s="14" t="n">
        <v>3600475.952</v>
      </c>
      <c r="E28" s="14" t="n">
        <v>35455141.13</v>
      </c>
      <c r="F28" s="14" t="n">
        <v>46547443.66</v>
      </c>
      <c r="G28" s="14" t="n">
        <v>11092302.53</v>
      </c>
      <c r="H28" s="16" t="n">
        <v>10.94928262203824</v>
      </c>
      <c r="I28" s="16" t="n">
        <v>20.10075515617489</v>
      </c>
      <c r="J28" s="16" t="n">
        <v>9.847348406897511</v>
      </c>
      <c r="K28" s="16" t="n">
        <v>12.92813624658254</v>
      </c>
      <c r="L28" s="16" t="n">
        <v>3.080787839685035</v>
      </c>
      <c r="M28" s="16" t="n">
        <v>3.080787839685033</v>
      </c>
      <c r="N28" s="14" t="n">
        <v>1060.210822143699</v>
      </c>
      <c r="O28" s="15" t="n">
        <v>11.49175489608349</v>
      </c>
      <c r="P28" s="15" t="n">
        <v>11.0135900501163</v>
      </c>
      <c r="Q28" s="15" t="n">
        <v>11.4922016587258</v>
      </c>
    </row>
  </sheetData>
  <mergeCells count="2">
    <mergeCell ref="A2:Q2"/>
    <mergeCell ref="A1:Q1"/>
  </mergeCells>
  <conditionalFormatting sqref="J5:J28">
    <cfRule type="colorScale" priority="1">
      <colorScale>
        <cfvo type="min"/>
        <cfvo type="percentile" val="50"/>
        <cfvo type="max"/>
        <color rgb="00F4C7C3"/>
        <color rgb="00FFF2CC"/>
        <color rgb="00B7E1CD"/>
      </colorScale>
    </cfRule>
  </conditionalFormatting>
  <conditionalFormatting sqref="K5:K28">
    <cfRule type="colorScale" priority="2">
      <colorScale>
        <cfvo type="min"/>
        <cfvo type="percentile" val="50"/>
        <cfvo type="max"/>
        <color rgb="00F4C7C3"/>
        <color rgb="00FFF2CC"/>
        <color rgb="00B7E1C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9" customWidth="1" min="4" max="4"/>
    <col width="20" customWidth="1" min="5" max="5"/>
    <col width="20" customWidth="1" min="6" max="6"/>
  </cols>
  <sheetData>
    <row r="1">
      <c r="A1" s="6" t="inlineStr">
        <is>
          <t>Yield rankings (OD × month with at least 30 shipments)</t>
        </is>
      </c>
    </row>
    <row r="2"/>
    <row r="3">
      <c r="A3" s="18" t="inlineStr">
        <is>
          <t>Highest base yield</t>
        </is>
      </c>
      <c r="H3" s="18" t="inlineStr">
        <is>
          <t>Highest total yield</t>
        </is>
      </c>
    </row>
    <row r="4" ht="32" customHeight="1">
      <c r="A4" s="11" t="inlineStr">
        <is>
          <t>Month</t>
        </is>
      </c>
      <c r="B4" s="11" t="inlineStr">
        <is>
          <t>OD pair</t>
        </is>
      </c>
      <c r="C4" s="11" t="inlineStr">
        <is>
          <t>Shipments</t>
        </is>
      </c>
      <c r="D4" s="11" t="inlineStr">
        <is>
          <t>Charged weight</t>
        </is>
      </c>
      <c r="E4" s="11" t="inlineStr">
        <is>
          <t>Base yield</t>
        </is>
      </c>
      <c r="F4" s="11" t="inlineStr">
        <is>
          <t>Total yield</t>
        </is>
      </c>
      <c r="H4" s="19" t="inlineStr">
        <is>
          <t>Month</t>
        </is>
      </c>
      <c r="I4" s="19" t="inlineStr">
        <is>
          <t>OD pair</t>
        </is>
      </c>
      <c r="J4" s="19" t="inlineStr">
        <is>
          <t>Shipments</t>
        </is>
      </c>
      <c r="K4" s="19" t="inlineStr">
        <is>
          <t>Charged weight</t>
        </is>
      </c>
      <c r="L4" s="19" t="inlineStr">
        <is>
          <t>Base yield</t>
        </is>
      </c>
      <c r="M4" s="19" t="inlineStr">
        <is>
          <t>Total yield</t>
        </is>
      </c>
    </row>
    <row r="5">
      <c r="A5" s="12" t="inlineStr">
        <is>
          <t>June</t>
        </is>
      </c>
      <c r="B5" s="12" t="inlineStr">
        <is>
          <t>SOUTH ZONE RO → NEPAL ZONE</t>
        </is>
      </c>
      <c r="C5" s="13" t="n">
        <v>287</v>
      </c>
      <c r="D5" s="14" t="n">
        <v>310342.68</v>
      </c>
      <c r="E5" s="16" t="n">
        <v>15.84865565380824</v>
      </c>
      <c r="F5" s="16" t="n">
        <v>21.96862471510525</v>
      </c>
      <c r="H5" t="inlineStr">
        <is>
          <t>June</t>
        </is>
      </c>
      <c r="I5" t="inlineStr">
        <is>
          <t>SOUTH ZONE RO → NEPAL ZONE</t>
        </is>
      </c>
      <c r="J5" s="20" t="n">
        <v>287</v>
      </c>
      <c r="K5" s="21" t="n">
        <v>310342.68</v>
      </c>
      <c r="L5" s="22" t="n">
        <v>15.84865565380824</v>
      </c>
      <c r="M5" s="22" t="n">
        <v>21.96862471510525</v>
      </c>
    </row>
    <row r="6">
      <c r="A6" s="12" t="inlineStr">
        <is>
          <t>May</t>
        </is>
      </c>
      <c r="B6" s="12" t="inlineStr">
        <is>
          <t>SOUTH ZONE RO → NEPAL ZONE</t>
        </is>
      </c>
      <c r="C6" s="13" t="n">
        <v>294</v>
      </c>
      <c r="D6" s="14" t="n">
        <v>311131.64</v>
      </c>
      <c r="E6" s="16" t="n">
        <v>15.73491930939585</v>
      </c>
      <c r="F6" s="16" t="n">
        <v>20.85652950628872</v>
      </c>
      <c r="H6" t="inlineStr">
        <is>
          <t>May</t>
        </is>
      </c>
      <c r="I6" t="inlineStr">
        <is>
          <t>SOUTH ZONE RO → NEPAL ZONE</t>
        </is>
      </c>
      <c r="J6" s="20" t="n">
        <v>294</v>
      </c>
      <c r="K6" s="21" t="n">
        <v>311131.64</v>
      </c>
      <c r="L6" s="22" t="n">
        <v>15.73491930939585</v>
      </c>
      <c r="M6" s="22" t="n">
        <v>20.85652950628872</v>
      </c>
    </row>
    <row r="7">
      <c r="A7" s="12" t="inlineStr">
        <is>
          <t>July</t>
        </is>
      </c>
      <c r="B7" s="12" t="inlineStr">
        <is>
          <t>SOUTH ZONE RO → NORTH EAST ZONE RO</t>
        </is>
      </c>
      <c r="C7" s="13" t="n">
        <v>241</v>
      </c>
      <c r="D7" s="14" t="n">
        <v>123855</v>
      </c>
      <c r="E7" s="16" t="n">
        <v>15.44081466230673</v>
      </c>
      <c r="F7" s="16" t="n">
        <v>18.62102175931533</v>
      </c>
      <c r="H7" t="inlineStr">
        <is>
          <t>July</t>
        </is>
      </c>
      <c r="I7" t="inlineStr">
        <is>
          <t>SOUTH ZONE RO → NEPAL ZONE</t>
        </is>
      </c>
      <c r="J7" s="20" t="n">
        <v>221</v>
      </c>
      <c r="K7" s="21" t="n">
        <v>198611.28</v>
      </c>
      <c r="L7" s="22" t="n">
        <v>15.38073184967138</v>
      </c>
      <c r="M7" s="22" t="n">
        <v>20.62046193952327</v>
      </c>
    </row>
    <row r="8">
      <c r="A8" s="12" t="inlineStr">
        <is>
          <t>July</t>
        </is>
      </c>
      <c r="B8" s="12" t="inlineStr">
        <is>
          <t>SOUTH ZONE RO → NEPAL ZONE</t>
        </is>
      </c>
      <c r="C8" s="13" t="n">
        <v>221</v>
      </c>
      <c r="D8" s="14" t="n">
        <v>198611.28</v>
      </c>
      <c r="E8" s="16" t="n">
        <v>15.38073184967138</v>
      </c>
      <c r="F8" s="16" t="n">
        <v>20.62046193952327</v>
      </c>
      <c r="H8" t="inlineStr">
        <is>
          <t>April</t>
        </is>
      </c>
      <c r="I8" t="inlineStr">
        <is>
          <t>SOUTH ZONE RO → NEPAL ZONE</t>
        </is>
      </c>
      <c r="J8" s="20" t="n">
        <v>245</v>
      </c>
      <c r="K8" s="21" t="n">
        <v>281472.59</v>
      </c>
      <c r="L8" s="22" t="n">
        <v>15.12312037204049</v>
      </c>
      <c r="M8" s="22" t="n">
        <v>19.73115115756031</v>
      </c>
    </row>
    <row r="9">
      <c r="A9" s="12" t="inlineStr">
        <is>
          <t>April</t>
        </is>
      </c>
      <c r="B9" s="12" t="inlineStr">
        <is>
          <t>SOUTH ZONE RO → NEPAL ZONE</t>
        </is>
      </c>
      <c r="C9" s="13" t="n">
        <v>245</v>
      </c>
      <c r="D9" s="14" t="n">
        <v>281472.59</v>
      </c>
      <c r="E9" s="16" t="n">
        <v>15.12312037204049</v>
      </c>
      <c r="F9" s="16" t="n">
        <v>19.73115115756031</v>
      </c>
      <c r="H9" t="inlineStr">
        <is>
          <t>July</t>
        </is>
      </c>
      <c r="I9" t="inlineStr">
        <is>
          <t>SOUTH ZONE RO → NORTH EAST ZONE RO</t>
        </is>
      </c>
      <c r="J9" s="20" t="n">
        <v>241</v>
      </c>
      <c r="K9" s="21" t="n">
        <v>123855</v>
      </c>
      <c r="L9" s="22" t="n">
        <v>15.44081466230673</v>
      </c>
      <c r="M9" s="22" t="n">
        <v>18.62102175931533</v>
      </c>
    </row>
    <row r="10">
      <c r="A10" s="12" t="inlineStr">
        <is>
          <t>April</t>
        </is>
      </c>
      <c r="B10" s="12" t="inlineStr">
        <is>
          <t>SOUTH ZONE RO → NORTH EAST ZONE RO</t>
        </is>
      </c>
      <c r="C10" s="13" t="n">
        <v>239</v>
      </c>
      <c r="D10" s="14" t="n">
        <v>155455.6</v>
      </c>
      <c r="E10" s="16" t="n">
        <v>14.84437138321167</v>
      </c>
      <c r="F10" s="16" t="n">
        <v>17.14881207238594</v>
      </c>
      <c r="H10" t="inlineStr">
        <is>
          <t>June</t>
        </is>
      </c>
      <c r="I10" t="inlineStr">
        <is>
          <t>WEST ZONE RO → EAST ZONE RO</t>
        </is>
      </c>
      <c r="J10" s="20" t="n">
        <v>346</v>
      </c>
      <c r="K10" s="21" t="n">
        <v>248764</v>
      </c>
      <c r="L10" s="22" t="n">
        <v>13.36653289865093</v>
      </c>
      <c r="M10" s="22" t="n">
        <v>18.48574130501198</v>
      </c>
    </row>
    <row r="11">
      <c r="A11" s="12" t="inlineStr">
        <is>
          <t>May</t>
        </is>
      </c>
      <c r="B11" s="12" t="inlineStr">
        <is>
          <t>SOUTH ZONE RO → NORTH EAST ZONE RO</t>
        </is>
      </c>
      <c r="C11" s="13" t="n">
        <v>177</v>
      </c>
      <c r="D11" s="14" t="n">
        <v>100113</v>
      </c>
      <c r="E11" s="16" t="n">
        <v>14.66220570755047</v>
      </c>
      <c r="F11" s="16" t="n">
        <v>17.42703804700688</v>
      </c>
      <c r="H11" t="inlineStr">
        <is>
          <t>July</t>
        </is>
      </c>
      <c r="I11" t="inlineStr">
        <is>
          <t>WEST ZONE RO → NORTH EAST ZONE RO</t>
        </is>
      </c>
      <c r="J11" s="20" t="n">
        <v>711</v>
      </c>
      <c r="K11" s="21" t="n">
        <v>449076.41</v>
      </c>
      <c r="L11" s="22" t="n">
        <v>14.51784699623835</v>
      </c>
      <c r="M11" s="22" t="n">
        <v>17.67951235737366</v>
      </c>
    </row>
    <row r="12">
      <c r="A12" s="12" t="inlineStr">
        <is>
          <t>June</t>
        </is>
      </c>
      <c r="B12" s="12" t="inlineStr">
        <is>
          <t>SOUTH ZONE RO → NORTH EAST ZONE RO</t>
        </is>
      </c>
      <c r="C12" s="13" t="n">
        <v>193</v>
      </c>
      <c r="D12" s="14" t="n">
        <v>109019</v>
      </c>
      <c r="E12" s="16" t="n">
        <v>14.53329740687403</v>
      </c>
      <c r="F12" s="16" t="n">
        <v>17.4339871031655</v>
      </c>
      <c r="H12" t="inlineStr">
        <is>
          <t>June</t>
        </is>
      </c>
      <c r="I12" t="inlineStr">
        <is>
          <t>WEST ZONE RO → NEPAL ZONE</t>
        </is>
      </c>
      <c r="J12" s="20" t="n">
        <v>1532</v>
      </c>
      <c r="K12" s="21" t="n">
        <v>1376141.09</v>
      </c>
      <c r="L12" s="22" t="n">
        <v>13.36751152456323</v>
      </c>
      <c r="M12" s="22" t="n">
        <v>17.62466517877175</v>
      </c>
    </row>
    <row r="13">
      <c r="A13" s="12" t="inlineStr">
        <is>
          <t>July</t>
        </is>
      </c>
      <c r="B13" s="12" t="inlineStr">
        <is>
          <t>WEST ZONE RO → NORTH EAST ZONE RO</t>
        </is>
      </c>
      <c r="C13" s="13" t="n">
        <v>711</v>
      </c>
      <c r="D13" s="14" t="n">
        <v>449076.41</v>
      </c>
      <c r="E13" s="16" t="n">
        <v>14.51784699623835</v>
      </c>
      <c r="F13" s="16" t="n">
        <v>17.67951235737366</v>
      </c>
      <c r="H13" t="inlineStr">
        <is>
          <t>June</t>
        </is>
      </c>
      <c r="I13" t="inlineStr">
        <is>
          <t>SOUTH ZONE RO → NORTH EAST ZONE RO</t>
        </is>
      </c>
      <c r="J13" s="20" t="n">
        <v>193</v>
      </c>
      <c r="K13" s="21" t="n">
        <v>109019</v>
      </c>
      <c r="L13" s="22" t="n">
        <v>14.53329740687403</v>
      </c>
      <c r="M13" s="22" t="n">
        <v>17.4339871031655</v>
      </c>
    </row>
    <row r="14">
      <c r="A14" s="12" t="inlineStr">
        <is>
          <t>June</t>
        </is>
      </c>
      <c r="B14" s="12" t="inlineStr">
        <is>
          <t>WEST ZONE RO → NORTH EAST ZONE RO</t>
        </is>
      </c>
      <c r="C14" s="13" t="n">
        <v>775</v>
      </c>
      <c r="D14" s="14" t="n">
        <v>447872.3</v>
      </c>
      <c r="E14" s="16" t="n">
        <v>14.41429554808368</v>
      </c>
      <c r="F14" s="16" t="n">
        <v>17.39155540541355</v>
      </c>
      <c r="H14" t="inlineStr">
        <is>
          <t>May</t>
        </is>
      </c>
      <c r="I14" t="inlineStr">
        <is>
          <t>SOUTH ZONE RO → NORTH EAST ZONE RO</t>
        </is>
      </c>
      <c r="J14" s="20" t="n">
        <v>177</v>
      </c>
      <c r="K14" s="21" t="n">
        <v>100113</v>
      </c>
      <c r="L14" s="22" t="n">
        <v>14.66220570755047</v>
      </c>
      <c r="M14" s="22" t="n">
        <v>17.42703804700688</v>
      </c>
    </row>
    <row r="15">
      <c r="A15" s="12" t="inlineStr">
        <is>
          <t>April</t>
        </is>
      </c>
      <c r="B15" s="12" t="inlineStr">
        <is>
          <t>WEST ZONE RO → NORTH EAST ZONE RO</t>
        </is>
      </c>
      <c r="C15" s="13" t="n">
        <v>683</v>
      </c>
      <c r="D15" s="14" t="n">
        <v>355476.6</v>
      </c>
      <c r="E15" s="16" t="n">
        <v>14.21771753752568</v>
      </c>
      <c r="F15" s="16" t="n">
        <v>16.40298762281399</v>
      </c>
      <c r="H15" t="inlineStr">
        <is>
          <t>June</t>
        </is>
      </c>
      <c r="I15" t="inlineStr">
        <is>
          <t>SOUTH ZONE RO → EAST ZONE RO</t>
        </is>
      </c>
      <c r="J15" s="20" t="n">
        <v>197</v>
      </c>
      <c r="K15" s="21" t="n">
        <v>106142.95</v>
      </c>
      <c r="L15" s="22" t="n">
        <v>12.39520740661532</v>
      </c>
      <c r="M15" s="22" t="n">
        <v>17.41843975506616</v>
      </c>
    </row>
    <row r="16">
      <c r="A16" s="12" t="inlineStr">
        <is>
          <t>May</t>
        </is>
      </c>
      <c r="B16" s="12" t="inlineStr">
        <is>
          <t>WEST ZONE RO → NORTH EAST ZONE RO</t>
        </is>
      </c>
      <c r="C16" s="13" t="n">
        <v>733</v>
      </c>
      <c r="D16" s="14" t="n">
        <v>450864</v>
      </c>
      <c r="E16" s="16" t="n">
        <v>14.09805828365095</v>
      </c>
      <c r="F16" s="16" t="n">
        <v>16.40848983285425</v>
      </c>
      <c r="H16" t="inlineStr">
        <is>
          <t>June</t>
        </is>
      </c>
      <c r="I16" t="inlineStr">
        <is>
          <t>WEST ZONE RO → NORTH EAST ZONE RO</t>
        </is>
      </c>
      <c r="J16" s="20" t="n">
        <v>775</v>
      </c>
      <c r="K16" s="21" t="n">
        <v>447872.3</v>
      </c>
      <c r="L16" s="22" t="n">
        <v>14.41429554808368</v>
      </c>
      <c r="M16" s="22" t="n">
        <v>17.39155540541355</v>
      </c>
    </row>
    <row r="17">
      <c r="A17" s="12" t="inlineStr">
        <is>
          <t>June</t>
        </is>
      </c>
      <c r="B17" s="12" t="inlineStr">
        <is>
          <t>WEST ZONE RO → NEPAL ZONE</t>
        </is>
      </c>
      <c r="C17" s="13" t="n">
        <v>1532</v>
      </c>
      <c r="D17" s="14" t="n">
        <v>1376141.09</v>
      </c>
      <c r="E17" s="16" t="n">
        <v>13.36751152456323</v>
      </c>
      <c r="F17" s="16" t="n">
        <v>17.62466517877175</v>
      </c>
      <c r="H17" t="inlineStr">
        <is>
          <t>April</t>
        </is>
      </c>
      <c r="I17" t="inlineStr">
        <is>
          <t>SOUTH ZONE RO → NORTH EAST ZONE RO</t>
        </is>
      </c>
      <c r="J17" s="20" t="n">
        <v>239</v>
      </c>
      <c r="K17" s="21" t="n">
        <v>155455.6</v>
      </c>
      <c r="L17" s="22" t="n">
        <v>14.84437138321167</v>
      </c>
      <c r="M17" s="22" t="n">
        <v>17.14881207238594</v>
      </c>
    </row>
    <row r="18">
      <c r="A18" s="12" t="inlineStr">
        <is>
          <t>June</t>
        </is>
      </c>
      <c r="B18" s="12" t="inlineStr">
        <is>
          <t>WEST ZONE RO → EAST ZONE RO</t>
        </is>
      </c>
      <c r="C18" s="13" t="n">
        <v>346</v>
      </c>
      <c r="D18" s="14" t="n">
        <v>248764</v>
      </c>
      <c r="E18" s="16" t="n">
        <v>13.36653289865093</v>
      </c>
      <c r="F18" s="16" t="n">
        <v>18.48574130501198</v>
      </c>
      <c r="H18" t="inlineStr">
        <is>
          <t>July</t>
        </is>
      </c>
      <c r="I18" t="inlineStr">
        <is>
          <t>WEST ZONE RO → NEPAL ZONE</t>
        </is>
      </c>
      <c r="J18" s="20" t="n">
        <v>1132</v>
      </c>
      <c r="K18" s="21" t="n">
        <v>1120669.11</v>
      </c>
      <c r="L18" s="22" t="n">
        <v>12.74248770897236</v>
      </c>
      <c r="M18" s="22" t="n">
        <v>16.71932421694036</v>
      </c>
    </row>
    <row r="19">
      <c r="A19" s="12" t="inlineStr">
        <is>
          <t>April</t>
        </is>
      </c>
      <c r="B19" s="12" t="inlineStr">
        <is>
          <t>WEST ZONE RO → NEPAL ZONE</t>
        </is>
      </c>
      <c r="C19" s="13" t="n">
        <v>1330</v>
      </c>
      <c r="D19" s="14" t="n">
        <v>1191443.46</v>
      </c>
      <c r="E19" s="16" t="n">
        <v>12.95221842083887</v>
      </c>
      <c r="F19" s="16" t="n">
        <v>16.61426842697177</v>
      </c>
      <c r="H19" t="inlineStr">
        <is>
          <t>April</t>
        </is>
      </c>
      <c r="I19" t="inlineStr">
        <is>
          <t>WEST ZONE RO → NEPAL ZONE</t>
        </is>
      </c>
      <c r="J19" s="20" t="n">
        <v>1330</v>
      </c>
      <c r="K19" s="21" t="n">
        <v>1191443.46</v>
      </c>
      <c r="L19" s="22" t="n">
        <v>12.95221842083887</v>
      </c>
      <c r="M19" s="22" t="n">
        <v>16.61426842697177</v>
      </c>
    </row>
    <row r="20"/>
    <row r="21"/>
    <row r="22">
      <c r="A22" s="23" t="inlineStr">
        <is>
          <t>Lowest base yield</t>
        </is>
      </c>
      <c r="H22" s="23" t="inlineStr">
        <is>
          <t>Lowest total yield</t>
        </is>
      </c>
    </row>
    <row r="23" ht="32" customHeight="1">
      <c r="A23" s="11" t="inlineStr">
        <is>
          <t>Month</t>
        </is>
      </c>
      <c r="B23" s="11" t="inlineStr">
        <is>
          <t>OD pair</t>
        </is>
      </c>
      <c r="C23" s="11" t="inlineStr">
        <is>
          <t>Shipments</t>
        </is>
      </c>
      <c r="D23" s="11" t="inlineStr">
        <is>
          <t>Charged weight</t>
        </is>
      </c>
      <c r="E23" s="11" t="inlineStr">
        <is>
          <t>Base yield</t>
        </is>
      </c>
      <c r="F23" s="11" t="inlineStr">
        <is>
          <t>Total yield</t>
        </is>
      </c>
      <c r="H23" s="19" t="inlineStr">
        <is>
          <t>Month</t>
        </is>
      </c>
      <c r="I23" s="19" t="inlineStr">
        <is>
          <t>OD pair</t>
        </is>
      </c>
      <c r="J23" s="19" t="inlineStr">
        <is>
          <t>Shipments</t>
        </is>
      </c>
      <c r="K23" s="19" t="inlineStr">
        <is>
          <t>Charged weight</t>
        </is>
      </c>
      <c r="L23" s="19" t="inlineStr">
        <is>
          <t>Base yield</t>
        </is>
      </c>
      <c r="M23" s="19" t="inlineStr">
        <is>
          <t>Total yield</t>
        </is>
      </c>
    </row>
    <row r="24">
      <c r="A24" s="12" t="inlineStr">
        <is>
          <t>July</t>
        </is>
      </c>
      <c r="B24" s="12" t="inlineStr">
        <is>
          <t>NEPAL ZONE → NEPAL ZONE</t>
        </is>
      </c>
      <c r="C24" s="13" t="n">
        <v>35</v>
      </c>
      <c r="D24" s="14" t="n">
        <v>73005</v>
      </c>
      <c r="E24" s="16" t="n">
        <v>1.34805835216766</v>
      </c>
      <c r="F24" s="16" t="n">
        <v>3.181289089788371</v>
      </c>
      <c r="H24" t="inlineStr">
        <is>
          <t>July</t>
        </is>
      </c>
      <c r="I24" t="inlineStr">
        <is>
          <t>NEPAL ZONE → NEPAL ZONE</t>
        </is>
      </c>
      <c r="J24" s="20" t="n">
        <v>35</v>
      </c>
      <c r="K24" s="21" t="n">
        <v>73005</v>
      </c>
      <c r="L24" s="22" t="n">
        <v>1.34805835216766</v>
      </c>
      <c r="M24" s="22" t="n">
        <v>3.181289089788371</v>
      </c>
    </row>
    <row r="25">
      <c r="A25" s="12" t="inlineStr">
        <is>
          <t>April</t>
        </is>
      </c>
      <c r="B25" s="12" t="inlineStr">
        <is>
          <t>NEPAL ZONE → NEPAL ZONE</t>
        </is>
      </c>
      <c r="C25" s="13" t="n">
        <v>36</v>
      </c>
      <c r="D25" s="14" t="n">
        <v>94791.34</v>
      </c>
      <c r="E25" s="16" t="n">
        <v>1.755455086930937</v>
      </c>
      <c r="F25" s="16" t="n">
        <v>3.305738266807917</v>
      </c>
      <c r="H25" t="inlineStr">
        <is>
          <t>April</t>
        </is>
      </c>
      <c r="I25" t="inlineStr">
        <is>
          <t>NEPAL ZONE → NEPAL ZONE</t>
        </is>
      </c>
      <c r="J25" s="20" t="n">
        <v>36</v>
      </c>
      <c r="K25" s="21" t="n">
        <v>94791.34</v>
      </c>
      <c r="L25" s="22" t="n">
        <v>1.755455086930937</v>
      </c>
      <c r="M25" s="22" t="n">
        <v>3.305738266807917</v>
      </c>
    </row>
    <row r="26">
      <c r="A26" s="12" t="inlineStr">
        <is>
          <t>May</t>
        </is>
      </c>
      <c r="B26" s="12" t="inlineStr">
        <is>
          <t>NEPAL ZONE → NEPAL ZONE</t>
        </is>
      </c>
      <c r="C26" s="13" t="n">
        <v>42</v>
      </c>
      <c r="D26" s="14" t="n">
        <v>60270</v>
      </c>
      <c r="E26" s="16" t="n">
        <v>1.973661025385764</v>
      </c>
      <c r="F26" s="16" t="n">
        <v>4.543743985399038</v>
      </c>
      <c r="H26" t="inlineStr">
        <is>
          <t>June</t>
        </is>
      </c>
      <c r="I26" t="inlineStr">
        <is>
          <t>NEPAL ZONE → NEPAL ZONE</t>
        </is>
      </c>
      <c r="J26" s="20" t="n">
        <v>34</v>
      </c>
      <c r="K26" s="21" t="n">
        <v>59165</v>
      </c>
      <c r="L26" s="22" t="n">
        <v>2.215251415532832</v>
      </c>
      <c r="M26" s="22" t="n">
        <v>4.494440125073946</v>
      </c>
    </row>
    <row r="27">
      <c r="A27" s="12" t="inlineStr">
        <is>
          <t>June</t>
        </is>
      </c>
      <c r="B27" s="12" t="inlineStr">
        <is>
          <t>NEPAL ZONE → NEPAL ZONE</t>
        </is>
      </c>
      <c r="C27" s="13" t="n">
        <v>34</v>
      </c>
      <c r="D27" s="14" t="n">
        <v>59165</v>
      </c>
      <c r="E27" s="16" t="n">
        <v>2.215251415532832</v>
      </c>
      <c r="F27" s="16" t="n">
        <v>4.494440125073946</v>
      </c>
      <c r="H27" t="inlineStr">
        <is>
          <t>May</t>
        </is>
      </c>
      <c r="I27" t="inlineStr">
        <is>
          <t>NEPAL ZONE → NEPAL ZONE</t>
        </is>
      </c>
      <c r="J27" s="20" t="n">
        <v>42</v>
      </c>
      <c r="K27" s="21" t="n">
        <v>60270</v>
      </c>
      <c r="L27" s="22" t="n">
        <v>1.973661025385764</v>
      </c>
      <c r="M27" s="22" t="n">
        <v>4.543743985399038</v>
      </c>
    </row>
    <row r="28">
      <c r="A28" s="12" t="inlineStr">
        <is>
          <t>July</t>
        </is>
      </c>
      <c r="B28" s="12" t="inlineStr">
        <is>
          <t>WEST ZONE RO → WEST ZONE RO</t>
        </is>
      </c>
      <c r="C28" s="13" t="n">
        <v>35</v>
      </c>
      <c r="D28" s="14" t="n">
        <v>66415</v>
      </c>
      <c r="E28" s="16" t="n">
        <v>4.008115034254311</v>
      </c>
      <c r="F28" s="16" t="n">
        <v>5.503068583904239</v>
      </c>
      <c r="H28" t="inlineStr">
        <is>
          <t>July</t>
        </is>
      </c>
      <c r="I28" t="inlineStr">
        <is>
          <t>NORTH ZONE RO → NORTH ZONE RO</t>
        </is>
      </c>
      <c r="J28" s="20" t="n">
        <v>50</v>
      </c>
      <c r="K28" s="21" t="n">
        <v>61320</v>
      </c>
      <c r="L28" s="22" t="n">
        <v>4.505454174820613</v>
      </c>
      <c r="M28" s="22" t="n">
        <v>5.208340182648402</v>
      </c>
    </row>
    <row r="29">
      <c r="A29" s="12" t="inlineStr">
        <is>
          <t>July</t>
        </is>
      </c>
      <c r="B29" s="12" t="inlineStr">
        <is>
          <t>NORTH ZONE RO → NORTH ZONE RO</t>
        </is>
      </c>
      <c r="C29" s="13" t="n">
        <v>50</v>
      </c>
      <c r="D29" s="14" t="n">
        <v>61320</v>
      </c>
      <c r="E29" s="16" t="n">
        <v>4.505454174820613</v>
      </c>
      <c r="F29" s="16" t="n">
        <v>5.208340182648402</v>
      </c>
      <c r="H29" t="inlineStr">
        <is>
          <t>July</t>
        </is>
      </c>
      <c r="I29" t="inlineStr">
        <is>
          <t>WEST ZONE RO → WEST ZONE RO</t>
        </is>
      </c>
      <c r="J29" s="20" t="n">
        <v>35</v>
      </c>
      <c r="K29" s="21" t="n">
        <v>66415</v>
      </c>
      <c r="L29" s="22" t="n">
        <v>4.008115034254311</v>
      </c>
      <c r="M29" s="22" t="n">
        <v>5.503068583904239</v>
      </c>
    </row>
    <row r="30">
      <c r="A30" s="12" t="inlineStr">
        <is>
          <t>April</t>
        </is>
      </c>
      <c r="B30" s="12" t="inlineStr">
        <is>
          <t>EAST ZONE RO → EAST ZONE RO</t>
        </is>
      </c>
      <c r="C30" s="13" t="n">
        <v>63</v>
      </c>
      <c r="D30" s="14" t="n">
        <v>67570.93000000001</v>
      </c>
      <c r="E30" s="16" t="n">
        <v>4.50804983740789</v>
      </c>
      <c r="F30" s="16" t="n">
        <v>7.257201136642635</v>
      </c>
      <c r="H30" t="inlineStr">
        <is>
          <t>May</t>
        </is>
      </c>
      <c r="I30" t="inlineStr">
        <is>
          <t>NORTH ZONE RO → NORTH ZONE RO</t>
        </is>
      </c>
      <c r="J30" s="20" t="n">
        <v>49</v>
      </c>
      <c r="K30" s="21" t="n">
        <v>43461</v>
      </c>
      <c r="L30" s="22" t="n">
        <v>4.756931501806217</v>
      </c>
      <c r="M30" s="22" t="n">
        <v>6.210723637284002</v>
      </c>
    </row>
    <row r="31">
      <c r="A31" s="12" t="inlineStr">
        <is>
          <t>May</t>
        </is>
      </c>
      <c r="B31" s="12" t="inlineStr">
        <is>
          <t>NORTH ZONE RO → NORTH ZONE RO</t>
        </is>
      </c>
      <c r="C31" s="13" t="n">
        <v>49</v>
      </c>
      <c r="D31" s="14" t="n">
        <v>43461</v>
      </c>
      <c r="E31" s="16" t="n">
        <v>4.756931501806217</v>
      </c>
      <c r="F31" s="16" t="n">
        <v>6.210723637284002</v>
      </c>
      <c r="H31" t="inlineStr">
        <is>
          <t>July</t>
        </is>
      </c>
      <c r="I31" t="inlineStr">
        <is>
          <t>NORTH EAST ZONE RO → NORTH EAST ZONE RO</t>
        </is>
      </c>
      <c r="J31" s="20" t="n">
        <v>454</v>
      </c>
      <c r="K31" s="21" t="n">
        <v>303188.267</v>
      </c>
      <c r="L31" s="22" t="n">
        <v>5.630076839352098</v>
      </c>
      <c r="M31" s="22" t="n">
        <v>6.437187491823356</v>
      </c>
    </row>
    <row r="32">
      <c r="A32" s="12" t="inlineStr">
        <is>
          <t>June</t>
        </is>
      </c>
      <c r="B32" s="12" t="inlineStr">
        <is>
          <t>NORTH ZONE RO → NORTH ZONE RO</t>
        </is>
      </c>
      <c r="C32" s="13" t="n">
        <v>35</v>
      </c>
      <c r="D32" s="14" t="n">
        <v>38050</v>
      </c>
      <c r="E32" s="16" t="n">
        <v>5.497584756898817</v>
      </c>
      <c r="F32" s="16" t="n">
        <v>7.138596846254927</v>
      </c>
      <c r="H32" t="inlineStr">
        <is>
          <t>June</t>
        </is>
      </c>
      <c r="I32" t="inlineStr">
        <is>
          <t>NORTH EAST ZONE RO → NORTH EAST ZONE RO</t>
        </is>
      </c>
      <c r="J32" s="20" t="n">
        <v>481</v>
      </c>
      <c r="K32" s="21" t="n">
        <v>339613.36</v>
      </c>
      <c r="L32" s="22" t="n">
        <v>5.758258980153196</v>
      </c>
      <c r="M32" s="22" t="n">
        <v>6.619952878178879</v>
      </c>
    </row>
    <row r="33">
      <c r="A33" s="12" t="inlineStr">
        <is>
          <t>July</t>
        </is>
      </c>
      <c r="B33" s="12" t="inlineStr">
        <is>
          <t>NORTH EAST ZONE RO → NORTH EAST ZONE RO</t>
        </is>
      </c>
      <c r="C33" s="13" t="n">
        <v>454</v>
      </c>
      <c r="D33" s="14" t="n">
        <v>303188.267</v>
      </c>
      <c r="E33" s="16" t="n">
        <v>5.630076839352098</v>
      </c>
      <c r="F33" s="16" t="n">
        <v>6.437187491823356</v>
      </c>
      <c r="H33" t="inlineStr">
        <is>
          <t>April</t>
        </is>
      </c>
      <c r="I33" t="inlineStr">
        <is>
          <t>EAST ZONE RO → NORTH ZONE RO</t>
        </is>
      </c>
      <c r="J33" s="20" t="n">
        <v>162</v>
      </c>
      <c r="K33" s="21" t="n">
        <v>45432</v>
      </c>
      <c r="L33" s="22" t="n">
        <v>5.803014395139989</v>
      </c>
      <c r="M33" s="22" t="n">
        <v>6.626279934847685</v>
      </c>
    </row>
    <row r="34">
      <c r="A34" s="12" t="inlineStr">
        <is>
          <t>June</t>
        </is>
      </c>
      <c r="B34" s="12" t="inlineStr">
        <is>
          <t>NORTH EAST ZONE RO → NORTH EAST ZONE RO</t>
        </is>
      </c>
      <c r="C34" s="13" t="n">
        <v>481</v>
      </c>
      <c r="D34" s="14" t="n">
        <v>339613.36</v>
      </c>
      <c r="E34" s="16" t="n">
        <v>5.758258980153196</v>
      </c>
      <c r="F34" s="16" t="n">
        <v>6.619952878178879</v>
      </c>
      <c r="H34" t="inlineStr">
        <is>
          <t>May</t>
        </is>
      </c>
      <c r="I34" t="inlineStr">
        <is>
          <t>NORTH EAST ZONE RO → NORTH EAST ZONE RO</t>
        </is>
      </c>
      <c r="J34" s="20" t="n">
        <v>459</v>
      </c>
      <c r="K34" s="21" t="n">
        <v>330918.7</v>
      </c>
      <c r="L34" s="22" t="n">
        <v>5.886568302123754</v>
      </c>
      <c r="M34" s="22" t="n">
        <v>6.714997278787811</v>
      </c>
    </row>
    <row r="35">
      <c r="A35" s="12" t="inlineStr">
        <is>
          <t>April</t>
        </is>
      </c>
      <c r="B35" s="12" t="inlineStr">
        <is>
          <t>EAST ZONE RO → NORTH ZONE RO</t>
        </is>
      </c>
      <c r="C35" s="13" t="n">
        <v>162</v>
      </c>
      <c r="D35" s="14" t="n">
        <v>45432</v>
      </c>
      <c r="E35" s="16" t="n">
        <v>5.803014395139989</v>
      </c>
      <c r="F35" s="16" t="n">
        <v>6.626279934847685</v>
      </c>
      <c r="H35" t="inlineStr">
        <is>
          <t>April</t>
        </is>
      </c>
      <c r="I35" t="inlineStr">
        <is>
          <t>NORTH EAST ZONE RO → NORTH EAST ZONE RO</t>
        </is>
      </c>
      <c r="J35" s="20" t="n">
        <v>471</v>
      </c>
      <c r="K35" s="21" t="n">
        <v>431793</v>
      </c>
      <c r="L35" s="22" t="n">
        <v>6.156446306447766</v>
      </c>
      <c r="M35" s="22" t="n">
        <v>6.776628291797227</v>
      </c>
    </row>
    <row r="36">
      <c r="A36" s="12" t="inlineStr">
        <is>
          <t>May</t>
        </is>
      </c>
      <c r="B36" s="12" t="inlineStr">
        <is>
          <t>NORTH EAST ZONE RO → NORTH EAST ZONE RO</t>
        </is>
      </c>
      <c r="C36" s="13" t="n">
        <v>459</v>
      </c>
      <c r="D36" s="14" t="n">
        <v>330918.7</v>
      </c>
      <c r="E36" s="16" t="n">
        <v>5.886568302123754</v>
      </c>
      <c r="F36" s="16" t="n">
        <v>6.714997278787811</v>
      </c>
      <c r="H36" t="inlineStr">
        <is>
          <t>June</t>
        </is>
      </c>
      <c r="I36" t="inlineStr">
        <is>
          <t>EAST ZONE RO → NORTH ZONE RO</t>
        </is>
      </c>
      <c r="J36" s="20" t="n">
        <v>104</v>
      </c>
      <c r="K36" s="21" t="n">
        <v>42618</v>
      </c>
      <c r="L36" s="22" t="n">
        <v>5.976242432774884</v>
      </c>
      <c r="M36" s="22" t="n">
        <v>7.032602421512038</v>
      </c>
    </row>
    <row r="37">
      <c r="A37" s="12" t="inlineStr">
        <is>
          <t>June</t>
        </is>
      </c>
      <c r="B37" s="12" t="inlineStr">
        <is>
          <t>EAST ZONE RO → NORTH ZONE RO</t>
        </is>
      </c>
      <c r="C37" s="13" t="n">
        <v>104</v>
      </c>
      <c r="D37" s="14" t="n">
        <v>42618</v>
      </c>
      <c r="E37" s="16" t="n">
        <v>5.976242432774884</v>
      </c>
      <c r="F37" s="16" t="n">
        <v>7.032602421512038</v>
      </c>
      <c r="H37" t="inlineStr">
        <is>
          <t>June</t>
        </is>
      </c>
      <c r="I37" t="inlineStr">
        <is>
          <t>NORTH ZONE RO → NORTH ZONE RO</t>
        </is>
      </c>
      <c r="J37" s="20" t="n">
        <v>35</v>
      </c>
      <c r="K37" s="21" t="n">
        <v>38050</v>
      </c>
      <c r="L37" s="22" t="n">
        <v>5.497584756898817</v>
      </c>
      <c r="M37" s="22" t="n">
        <v>7.138596846254927</v>
      </c>
    </row>
    <row r="38">
      <c r="A38" s="12" t="inlineStr">
        <is>
          <t>May</t>
        </is>
      </c>
      <c r="B38" s="12" t="inlineStr">
        <is>
          <t>EAST ZONE RO → NORTH ZONE RO</t>
        </is>
      </c>
      <c r="C38" s="13" t="n">
        <v>40</v>
      </c>
      <c r="D38" s="14" t="n">
        <v>10922</v>
      </c>
      <c r="E38" s="16" t="n">
        <v>6.111591283647684</v>
      </c>
      <c r="F38" s="16" t="n">
        <v>7.448022340230727</v>
      </c>
      <c r="H38" t="inlineStr">
        <is>
          <t>April</t>
        </is>
      </c>
      <c r="I38" t="inlineStr">
        <is>
          <t>EAST ZONE RO → EAST ZONE RO</t>
        </is>
      </c>
      <c r="J38" s="20" t="n">
        <v>63</v>
      </c>
      <c r="K38" s="21" t="n">
        <v>67570.93000000001</v>
      </c>
      <c r="L38" s="22" t="n">
        <v>4.50804983740789</v>
      </c>
      <c r="M38" s="22" t="n">
        <v>7.257201136642635</v>
      </c>
    </row>
    <row r="42">
      <c r="O42" t="inlineStr">
        <is>
          <t>OD pair</t>
        </is>
      </c>
      <c r="P42" t="inlineStr">
        <is>
          <t>Base yield</t>
        </is>
      </c>
      <c r="Q42" t="inlineStr">
        <is>
          <t>Total yield</t>
        </is>
      </c>
    </row>
    <row r="43">
      <c r="O43" t="inlineStr">
        <is>
          <t>NORTH ZONE RO → NEPAL ZONE</t>
        </is>
      </c>
      <c r="P43" t="n">
        <v>8.441914646861898</v>
      </c>
      <c r="Q43" t="n">
        <v>10.84925855992905</v>
      </c>
    </row>
    <row r="44">
      <c r="O44" t="inlineStr">
        <is>
          <t>NORTH ZONE RO → NORTH EAST ZONE RO</t>
        </is>
      </c>
      <c r="P44" t="n">
        <v>11.57991663498115</v>
      </c>
      <c r="Q44" t="n">
        <v>13.74181634587582</v>
      </c>
    </row>
    <row r="45">
      <c r="O45" t="inlineStr">
        <is>
          <t>WEST ZONE RO → NEPAL ZONE</t>
        </is>
      </c>
      <c r="P45" t="n">
        <v>12.9662974592033</v>
      </c>
      <c r="Q45" t="n">
        <v>16.83755374474892</v>
      </c>
    </row>
    <row r="46">
      <c r="O46" t="inlineStr">
        <is>
          <t>NORTH ZONE RO → EAST ZONE RO</t>
        </is>
      </c>
      <c r="P46" t="n">
        <v>8.665959280998861</v>
      </c>
      <c r="Q46" t="n">
        <v>10.93821989940702</v>
      </c>
    </row>
    <row r="47">
      <c r="O47" t="inlineStr">
        <is>
          <t>WEST ZONE RO → NORTH EAST ZONE RO</t>
        </is>
      </c>
      <c r="P47" t="n">
        <v>14.31686267672284</v>
      </c>
      <c r="Q47" t="n">
        <v>17.00094242357454</v>
      </c>
    </row>
    <row r="48">
      <c r="O48" t="inlineStr">
        <is>
          <t>NORTH EAST ZONE RO → NORTH EAST ZONE RO</t>
        </is>
      </c>
      <c r="P48" t="n">
        <v>5.883146542373554</v>
      </c>
      <c r="Q48" t="n">
        <v>6.651038314914533</v>
      </c>
    </row>
    <row r="49">
      <c r="O49" t="inlineStr">
        <is>
          <t>WEST ZONE RO → EAST ZONE RO</t>
        </is>
      </c>
      <c r="P49" t="n">
        <v>12.15043970874043</v>
      </c>
      <c r="Q49" t="n">
        <v>15.89794408033712</v>
      </c>
    </row>
    <row r="50">
      <c r="O50" t="inlineStr">
        <is>
          <t>SOUTH ZONE RO → NEPAL ZONE</t>
        </is>
      </c>
      <c r="P50" t="n">
        <v>15.54677399293813</v>
      </c>
      <c r="Q50" t="n">
        <v>20.83971856266622</v>
      </c>
    </row>
    <row r="51">
      <c r="O51" t="inlineStr">
        <is>
          <t>EAST ZONE RO → NORTH EAST ZONE RO</t>
        </is>
      </c>
      <c r="P51" t="n">
        <v>8.182080385331957</v>
      </c>
      <c r="Q51" t="n">
        <v>10.19266130354715</v>
      </c>
    </row>
    <row r="52">
      <c r="O52" t="inlineStr">
        <is>
          <t>EAST ZONE RO → NEPAL ZONE</t>
        </is>
      </c>
      <c r="P52" t="n">
        <v>8.023637326121225</v>
      </c>
      <c r="Q52" t="n">
        <v>11.30181406961467</v>
      </c>
    </row>
  </sheetData>
  <autoFilter ref="A23:F38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6" customWidth="1" min="4" max="4"/>
    <col width="15" customWidth="1" min="5" max="5"/>
    <col width="15" customWidth="1" min="6" max="6"/>
    <col width="13" customWidth="1" min="7" max="7"/>
    <col width="21" customWidth="1" min="8" max="8"/>
    <col width="22" customWidth="1" min="9" max="9"/>
    <col width="28" customWidth="1" min="10" max="10"/>
  </cols>
  <sheetData>
    <row r="1" ht="22" customHeight="1">
      <c r="A1" s="6" t="inlineStr">
        <is>
          <t>Shipments with zero or inverted freight</t>
        </is>
      </c>
    </row>
    <row r="2" ht="18" customHeight="1">
      <c r="A2" s="7" t="inlineStr">
        <is>
          <t>Included in yield totals; listed here so they can be reviewed</t>
        </is>
      </c>
    </row>
    <row r="3"/>
    <row r="4" ht="32" customHeight="1">
      <c r="A4" s="11" t="inlineStr">
        <is>
          <t>Month</t>
        </is>
      </c>
      <c r="B4" s="11" t="inlineStr">
        <is>
          <t>Origin zone</t>
        </is>
      </c>
      <c r="C4" s="11" t="inlineStr">
        <is>
          <t>Destination zone</t>
        </is>
      </c>
      <c r="D4" s="11" t="inlineStr">
        <is>
          <t>Charged weight</t>
        </is>
      </c>
      <c r="E4" s="11" t="inlineStr">
        <is>
          <t>Basic freight</t>
        </is>
      </c>
      <c r="F4" s="11" t="inlineStr">
        <is>
          <t>Total freight</t>
        </is>
      </c>
      <c r="G4" s="11" t="inlineStr">
        <is>
          <t>VAS freight</t>
        </is>
      </c>
      <c r="H4" s="11" t="inlineStr">
        <is>
          <t>Shipment base yield</t>
        </is>
      </c>
      <c r="I4" s="11" t="inlineStr">
        <is>
          <t>Shipment total yield</t>
        </is>
      </c>
      <c r="J4" s="11" t="inlineStr">
        <is>
          <t>Issue</t>
        </is>
      </c>
    </row>
    <row r="5">
      <c r="A5" s="12" t="inlineStr">
        <is>
          <t>April</t>
        </is>
      </c>
      <c r="B5" s="12" t="inlineStr">
        <is>
          <t>NEPAL ZONE</t>
        </is>
      </c>
      <c r="C5" s="12" t="inlineStr">
        <is>
          <t>NEPAL ZONE</t>
        </is>
      </c>
      <c r="D5" s="12" t="n">
        <v>9956</v>
      </c>
      <c r="E5" s="12" t="n">
        <v>0</v>
      </c>
      <c r="F5" s="12" t="n">
        <v>8007</v>
      </c>
      <c r="G5" s="12" t="n">
        <v>8007</v>
      </c>
      <c r="H5" s="12" t="n">
        <v>0</v>
      </c>
      <c r="I5" s="12" t="n">
        <v>0.8042386500602652</v>
      </c>
      <c r="J5" s="12" t="inlineStr">
        <is>
          <t>zero/negative basic freight</t>
        </is>
      </c>
    </row>
    <row r="6">
      <c r="A6" s="12" t="inlineStr">
        <is>
          <t>April</t>
        </is>
      </c>
      <c r="B6" s="12" t="inlineStr">
        <is>
          <t>NEPAL ZONE</t>
        </is>
      </c>
      <c r="C6" s="12" t="inlineStr">
        <is>
          <t>NEPAL ZONE</t>
        </is>
      </c>
      <c r="D6" s="12" t="n">
        <v>10000</v>
      </c>
      <c r="E6" s="12" t="n">
        <v>0</v>
      </c>
      <c r="F6" s="12" t="n">
        <v>8007</v>
      </c>
      <c r="G6" s="12" t="n">
        <v>8007</v>
      </c>
      <c r="H6" s="12" t="n">
        <v>0</v>
      </c>
      <c r="I6" s="12" t="n">
        <v>0.8007</v>
      </c>
      <c r="J6" s="12" t="inlineStr">
        <is>
          <t>zero/negative basic freight</t>
        </is>
      </c>
    </row>
    <row r="7">
      <c r="A7" s="12" t="inlineStr">
        <is>
          <t>April</t>
        </is>
      </c>
      <c r="B7" s="12" t="inlineStr">
        <is>
          <t>SOUTH ZONE RO</t>
        </is>
      </c>
      <c r="C7" s="12" t="inlineStr">
        <is>
          <t>NORTH ZONE RO</t>
        </is>
      </c>
      <c r="D7" s="12" t="n">
        <v>150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inlineStr">
        <is>
          <t>zero/negative total freight</t>
        </is>
      </c>
    </row>
    <row r="8">
      <c r="A8" s="12" t="inlineStr">
        <is>
          <t>April</t>
        </is>
      </c>
      <c r="B8" s="12" t="inlineStr">
        <is>
          <t>WEST ZONE RO</t>
        </is>
      </c>
      <c r="C8" s="12" t="inlineStr">
        <is>
          <t>NEPAL ZONE</t>
        </is>
      </c>
      <c r="D8" s="12" t="n">
        <v>100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inlineStr">
        <is>
          <t>zero/negative total freight</t>
        </is>
      </c>
    </row>
    <row r="9">
      <c r="A9" s="12" t="inlineStr">
        <is>
          <t>April</t>
        </is>
      </c>
      <c r="B9" s="12" t="inlineStr">
        <is>
          <t>NORTH ZONE RO</t>
        </is>
      </c>
      <c r="C9" s="12" t="inlineStr">
        <is>
          <t>NEPAL ZONE</t>
        </is>
      </c>
      <c r="D9" s="12" t="n">
        <v>350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inlineStr">
        <is>
          <t>zero/negative total freight</t>
        </is>
      </c>
    </row>
    <row r="10">
      <c r="A10" s="12" t="inlineStr">
        <is>
          <t>April</t>
        </is>
      </c>
      <c r="B10" s="12" t="inlineStr">
        <is>
          <t>EAST ZONE RO</t>
        </is>
      </c>
      <c r="C10" s="12" t="inlineStr">
        <is>
          <t>NORTH ZONE RO</t>
        </is>
      </c>
      <c r="D10" s="12" t="n">
        <v>50</v>
      </c>
      <c r="E10" s="12" t="n">
        <v>0</v>
      </c>
      <c r="F10" s="12" t="n">
        <v>150</v>
      </c>
      <c r="G10" s="12" t="n">
        <v>150</v>
      </c>
      <c r="H10" s="12" t="n">
        <v>0</v>
      </c>
      <c r="I10" s="12" t="n">
        <v>3</v>
      </c>
      <c r="J10" s="12" t="inlineStr">
        <is>
          <t>zero/negative basic freight</t>
        </is>
      </c>
    </row>
    <row r="11">
      <c r="A11" s="12" t="inlineStr">
        <is>
          <t>April</t>
        </is>
      </c>
      <c r="B11" s="12" t="inlineStr">
        <is>
          <t>NORTH ZONE RO</t>
        </is>
      </c>
      <c r="C11" s="12" t="inlineStr">
        <is>
          <t>SOUTH ZONE RO</t>
        </is>
      </c>
      <c r="D11" s="12" t="n">
        <v>2030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inlineStr">
        <is>
          <t>zero/negative total freight</t>
        </is>
      </c>
    </row>
    <row r="12">
      <c r="A12" s="12" t="inlineStr">
        <is>
          <t>May</t>
        </is>
      </c>
      <c r="B12" s="12" t="inlineStr">
        <is>
          <t>NEPAL ZONE</t>
        </is>
      </c>
      <c r="C12" s="12" t="inlineStr">
        <is>
          <t>NEPAL ZONE</t>
        </is>
      </c>
      <c r="D12" s="12" t="n">
        <v>7010</v>
      </c>
      <c r="E12" s="12" t="n">
        <v>0</v>
      </c>
      <c r="F12" s="12" t="n">
        <v>6000</v>
      </c>
      <c r="G12" s="12" t="n">
        <v>6000</v>
      </c>
      <c r="H12" s="12" t="n">
        <v>0</v>
      </c>
      <c r="I12" s="12" t="n">
        <v>0.8559201141226819</v>
      </c>
      <c r="J12" s="12" t="inlineStr">
        <is>
          <t>zero/negative basic freight</t>
        </is>
      </c>
    </row>
    <row r="13">
      <c r="A13" s="12" t="inlineStr">
        <is>
          <t>May</t>
        </is>
      </c>
      <c r="B13" s="12" t="inlineStr">
        <is>
          <t>NEPAL ZONE</t>
        </is>
      </c>
      <c r="C13" s="12" t="inlineStr">
        <is>
          <t>NEPAL ZONE</t>
        </is>
      </c>
      <c r="D13" s="12" t="n">
        <v>6575</v>
      </c>
      <c r="E13" s="12" t="n">
        <v>0</v>
      </c>
      <c r="F13" s="12" t="n">
        <v>6000</v>
      </c>
      <c r="G13" s="12" t="n">
        <v>6000</v>
      </c>
      <c r="H13" s="12" t="n">
        <v>0</v>
      </c>
      <c r="I13" s="12" t="n">
        <v>0.9125475285171103</v>
      </c>
      <c r="J13" s="12" t="inlineStr">
        <is>
          <t>zero/negative basic freight</t>
        </is>
      </c>
    </row>
    <row r="14">
      <c r="A14" s="12" t="inlineStr">
        <is>
          <t>May</t>
        </is>
      </c>
      <c r="B14" s="12" t="inlineStr">
        <is>
          <t>NEPAL ZONE</t>
        </is>
      </c>
      <c r="C14" s="12" t="inlineStr">
        <is>
          <t>NORTH ZONE RO</t>
        </is>
      </c>
      <c r="D14" s="12" t="n">
        <v>17667</v>
      </c>
      <c r="E14" s="12" t="n">
        <v>0</v>
      </c>
      <c r="F14" s="12" t="n">
        <v>600</v>
      </c>
      <c r="G14" s="12" t="n">
        <v>600</v>
      </c>
      <c r="H14" s="12" t="n">
        <v>0</v>
      </c>
      <c r="I14" s="12" t="n">
        <v>0.03396162336559688</v>
      </c>
      <c r="J14" s="12" t="inlineStr">
        <is>
          <t>zero/negative basic freight</t>
        </is>
      </c>
    </row>
    <row r="15">
      <c r="A15" s="12" t="inlineStr">
        <is>
          <t>May</t>
        </is>
      </c>
      <c r="B15" s="12" t="inlineStr">
        <is>
          <t>WEST ZONE RO</t>
        </is>
      </c>
      <c r="C15" s="12" t="inlineStr">
        <is>
          <t>NEPAL ZONE</t>
        </is>
      </c>
      <c r="D15" s="12" t="n">
        <v>50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inlineStr">
        <is>
          <t>zero/negative total freight</t>
        </is>
      </c>
    </row>
    <row r="16">
      <c r="A16" s="12" t="inlineStr">
        <is>
          <t>May</t>
        </is>
      </c>
      <c r="B16" s="12" t="inlineStr">
        <is>
          <t>WEST ZONE RO</t>
        </is>
      </c>
      <c r="C16" s="12" t="inlineStr">
        <is>
          <t>NEPAL ZONE</t>
        </is>
      </c>
      <c r="D16" s="12" t="n">
        <v>50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inlineStr">
        <is>
          <t>zero/negative total freight</t>
        </is>
      </c>
    </row>
    <row r="17">
      <c r="A17" s="12" t="inlineStr">
        <is>
          <t>June</t>
        </is>
      </c>
      <c r="B17" s="12" t="inlineStr">
        <is>
          <t>NORTH ZONE RO</t>
        </is>
      </c>
      <c r="C17" s="12" t="inlineStr">
        <is>
          <t>NEPAL ZONE</t>
        </is>
      </c>
      <c r="D17" s="12" t="n">
        <v>50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inlineStr">
        <is>
          <t>zero/negative total freight</t>
        </is>
      </c>
    </row>
    <row r="18">
      <c r="A18" s="12" t="inlineStr">
        <is>
          <t>June</t>
        </is>
      </c>
      <c r="B18" s="12" t="inlineStr">
        <is>
          <t>EAST ZONE RO</t>
        </is>
      </c>
      <c r="C18" s="12" t="inlineStr">
        <is>
          <t>NORTH ZONE RO</t>
        </is>
      </c>
      <c r="D18" s="12" t="n">
        <v>75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inlineStr">
        <is>
          <t>zero/negative total freight</t>
        </is>
      </c>
    </row>
    <row r="19">
      <c r="A19" s="12" t="inlineStr">
        <is>
          <t>June</t>
        </is>
      </c>
      <c r="B19" s="12" t="inlineStr">
        <is>
          <t>NORTH ZONE RO</t>
        </is>
      </c>
      <c r="C19" s="12" t="inlineStr">
        <is>
          <t>NEPAL ZONE</t>
        </is>
      </c>
      <c r="D19" s="12" t="n">
        <v>820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inlineStr">
        <is>
          <t>zero/negative total freight</t>
        </is>
      </c>
    </row>
    <row r="20">
      <c r="A20" s="12" t="inlineStr">
        <is>
          <t>June</t>
        </is>
      </c>
      <c r="B20" s="12" t="inlineStr">
        <is>
          <t>NEPAL ZONE</t>
        </is>
      </c>
      <c r="C20" s="12" t="inlineStr">
        <is>
          <t>NORTH ZONE RO</t>
        </is>
      </c>
      <c r="D20" s="12" t="n">
        <v>1600</v>
      </c>
      <c r="E20" s="12" t="n">
        <v>0</v>
      </c>
      <c r="F20" s="12" t="n">
        <v>1566.6</v>
      </c>
      <c r="G20" s="12" t="n">
        <v>1566.6</v>
      </c>
      <c r="H20" s="12" t="n">
        <v>0</v>
      </c>
      <c r="I20" s="12" t="n">
        <v>0.9791249999999999</v>
      </c>
      <c r="J20" s="12" t="inlineStr">
        <is>
          <t>zero/negative basic freight</t>
        </is>
      </c>
    </row>
    <row r="21">
      <c r="A21" s="12" t="inlineStr">
        <is>
          <t>June</t>
        </is>
      </c>
      <c r="B21" s="12" t="inlineStr">
        <is>
          <t>NORTH ZONE RO</t>
        </is>
      </c>
      <c r="C21" s="12" t="inlineStr">
        <is>
          <t>NEPAL ZONE</t>
        </is>
      </c>
      <c r="D21" s="12" t="n">
        <v>1585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inlineStr">
        <is>
          <t>zero/negative total freight</t>
        </is>
      </c>
    </row>
    <row r="22">
      <c r="A22" s="12" t="inlineStr">
        <is>
          <t>June</t>
        </is>
      </c>
      <c r="B22" s="12" t="inlineStr">
        <is>
          <t>NORTH ZONE RO</t>
        </is>
      </c>
      <c r="C22" s="12" t="inlineStr">
        <is>
          <t>NEPAL ZONE</t>
        </is>
      </c>
      <c r="D22" s="12" t="n">
        <v>400</v>
      </c>
      <c r="E22" s="12" t="n">
        <v>4000</v>
      </c>
      <c r="F22" s="12" t="n">
        <v>3894</v>
      </c>
      <c r="G22" s="12" t="n">
        <v>-106</v>
      </c>
      <c r="H22" s="12" t="n">
        <v>10</v>
      </c>
      <c r="I22" s="12" t="n">
        <v>9.734999999999999</v>
      </c>
      <c r="J22" s="12" t="inlineStr">
        <is>
          <t>total freight &lt; basic freight</t>
        </is>
      </c>
    </row>
    <row r="23">
      <c r="A23" s="12" t="inlineStr">
        <is>
          <t>June</t>
        </is>
      </c>
      <c r="B23" s="12" t="inlineStr">
        <is>
          <t>NORTH ZONE RO</t>
        </is>
      </c>
      <c r="C23" s="12" t="inlineStr">
        <is>
          <t>NEPAL ZONE</t>
        </is>
      </c>
      <c r="D23" s="12" t="n">
        <v>290</v>
      </c>
      <c r="E23" s="12" t="n">
        <v>3552.5</v>
      </c>
      <c r="F23" s="12" t="n">
        <v>3038</v>
      </c>
      <c r="G23" s="12" t="n">
        <v>-514.5</v>
      </c>
      <c r="H23" s="12" t="n">
        <v>12.25</v>
      </c>
      <c r="I23" s="12" t="n">
        <v>10.47586206896552</v>
      </c>
      <c r="J23" s="12" t="inlineStr">
        <is>
          <t>total freight &lt; basic freight</t>
        </is>
      </c>
    </row>
    <row r="24">
      <c r="A24" s="12" t="inlineStr">
        <is>
          <t>June</t>
        </is>
      </c>
      <c r="B24" s="12" t="inlineStr">
        <is>
          <t>WEST ZONE RO</t>
        </is>
      </c>
      <c r="C24" s="12" t="inlineStr">
        <is>
          <t>EAST ZONE RO</t>
        </is>
      </c>
      <c r="D24" s="12" t="n">
        <v>100</v>
      </c>
      <c r="E24" s="12" t="n">
        <v>0</v>
      </c>
      <c r="F24" s="12" t="n">
        <v>150</v>
      </c>
      <c r="G24" s="12" t="n">
        <v>150</v>
      </c>
      <c r="H24" s="12" t="n">
        <v>0</v>
      </c>
      <c r="I24" s="12" t="n">
        <v>1.5</v>
      </c>
      <c r="J24" s="12" t="inlineStr">
        <is>
          <t>zero/negative basic freight</t>
        </is>
      </c>
    </row>
    <row r="25">
      <c r="A25" s="12" t="inlineStr">
        <is>
          <t>June</t>
        </is>
      </c>
      <c r="B25" s="12" t="inlineStr">
        <is>
          <t>NORTH ZONE RO</t>
        </is>
      </c>
      <c r="C25" s="12" t="inlineStr">
        <is>
          <t>NORTH EAST ZONE RO</t>
        </is>
      </c>
      <c r="D25" s="12" t="n">
        <v>2850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inlineStr">
        <is>
          <t>zero/negative total freight</t>
        </is>
      </c>
    </row>
    <row r="26">
      <c r="A26" s="12" t="inlineStr">
        <is>
          <t>June</t>
        </is>
      </c>
      <c r="B26" s="12" t="inlineStr">
        <is>
          <t>WEST ZONE RO</t>
        </is>
      </c>
      <c r="C26" s="12" t="inlineStr">
        <is>
          <t>NORTH EAST ZONE RO</t>
        </is>
      </c>
      <c r="D26" s="12" t="n">
        <v>100</v>
      </c>
      <c r="E26" s="12" t="n">
        <v>0</v>
      </c>
      <c r="F26" s="12" t="n">
        <v>150</v>
      </c>
      <c r="G26" s="12" t="n">
        <v>150</v>
      </c>
      <c r="H26" s="12" t="n">
        <v>0</v>
      </c>
      <c r="I26" s="12" t="n">
        <v>1.5</v>
      </c>
      <c r="J26" s="12" t="inlineStr">
        <is>
          <t>zero/negative basic freight</t>
        </is>
      </c>
    </row>
    <row r="27">
      <c r="A27" s="12" t="inlineStr">
        <is>
          <t>July</t>
        </is>
      </c>
      <c r="B27" s="12" t="inlineStr">
        <is>
          <t>NEPAL ZONE</t>
        </is>
      </c>
      <c r="C27" s="12" t="inlineStr">
        <is>
          <t>NORTH ZONE RO</t>
        </is>
      </c>
      <c r="D27" s="12" t="n">
        <v>50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inlineStr">
        <is>
          <t>zero/negative total freight</t>
        </is>
      </c>
    </row>
    <row r="28">
      <c r="A28" s="12" t="inlineStr">
        <is>
          <t>July</t>
        </is>
      </c>
      <c r="B28" s="12" t="inlineStr">
        <is>
          <t>NEPAL ZONE</t>
        </is>
      </c>
      <c r="C28" s="12" t="inlineStr">
        <is>
          <t>NEPAL ZONE</t>
        </is>
      </c>
      <c r="D28" s="12" t="n">
        <v>1800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inlineStr">
        <is>
          <t>zero/negative total freight</t>
        </is>
      </c>
    </row>
    <row r="29">
      <c r="A29" s="12" t="inlineStr">
        <is>
          <t>July</t>
        </is>
      </c>
      <c r="B29" s="12" t="inlineStr">
        <is>
          <t>WEST ZONE RO</t>
        </is>
      </c>
      <c r="C29" s="12" t="inlineStr">
        <is>
          <t>NEPAL ZONE</t>
        </is>
      </c>
      <c r="D29" s="12" t="n">
        <v>50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inlineStr">
        <is>
          <t>zero/negative total freight</t>
        </is>
      </c>
    </row>
    <row r="30">
      <c r="A30" s="12" t="inlineStr">
        <is>
          <t>July</t>
        </is>
      </c>
      <c r="B30" s="12" t="inlineStr">
        <is>
          <t>NORTH EAST ZONE RO</t>
        </is>
      </c>
      <c r="C30" s="12" t="inlineStr">
        <is>
          <t>NORTH ZONE RO</t>
        </is>
      </c>
      <c r="D30" s="12" t="n">
        <v>2000</v>
      </c>
      <c r="E30" s="12" t="n">
        <v>0</v>
      </c>
      <c r="F30" s="12" t="n">
        <v>150</v>
      </c>
      <c r="G30" s="12" t="n">
        <v>150</v>
      </c>
      <c r="H30" s="12" t="n">
        <v>0</v>
      </c>
      <c r="I30" s="12" t="n">
        <v>0.075</v>
      </c>
      <c r="J30" s="12" t="inlineStr">
        <is>
          <t>zero/negative basic freight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2026-08-14T18:28:19Z</dcterms:created>
  <dcterms:modified xsi:type="dcterms:W3CDTF">2026-08-14T18:28:20Z</dcterms:modified>
</cp:coreProperties>
</file>